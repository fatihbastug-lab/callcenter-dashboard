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M_KALITE\Şikayet &amp;Teşekkür\2025\12 ARALIK\"/>
    </mc:Choice>
  </mc:AlternateContent>
  <xr:revisionPtr revIDLastSave="0" documentId="13_ncr:1_{2440D5E7-EA0B-49A1-88C2-80A2C38FE01D}" xr6:coauthVersionLast="47" xr6:coauthVersionMax="47" xr10:uidLastSave="{00000000-0000-0000-0000-000000000000}"/>
  <bookViews>
    <workbookView xWindow="-120" yWindow="-120" windowWidth="29040" windowHeight="15720" xr2:uid="{58DAA6D5-2BE6-41E9-A1C0-FB7A1E0A22A8}"/>
  </bookViews>
  <sheets>
    <sheet name="Data" sheetId="1" r:id="rId1"/>
    <sheet name="Tanımlar" sheetId="3" r:id="rId2"/>
    <sheet name="Personel Bilgi" sheetId="4" r:id="rId3"/>
    <sheet name="Sayfa2" sheetId="6" r:id="rId4"/>
    <sheet name="Sayfa1" sheetId="5" r:id="rId5"/>
  </sheets>
  <definedNames>
    <definedName name="_xlnm._FilterDatabase" localSheetId="0" hidden="1">Data!$A$1:$AG$445</definedName>
    <definedName name="_xlnm._FilterDatabase" localSheetId="2" hidden="1">'Personel Bilgi'!$A$1:$F$613</definedName>
    <definedName name="ANKARA">#REF!</definedName>
    <definedName name="DAVRANIŞ">Tablo8[DAVRANIŞ]</definedName>
    <definedName name="ERZURUM">#REF!</definedName>
    <definedName name="KARS">#REF!</definedName>
    <definedName name="SÜREÇ">Tablo1[SÜREÇ]</definedName>
    <definedName name="TEŞEKKÜR">Tablo9[TEŞEKKÜR]</definedName>
    <definedName name="ÜRÜN">Tablo2[ÜRÜN]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9" i="1" l="1"/>
  <c r="J442" i="1"/>
  <c r="I442" i="1"/>
  <c r="H442" i="1"/>
  <c r="G442" i="1"/>
  <c r="E442" i="1"/>
  <c r="J441" i="1"/>
  <c r="I441" i="1"/>
  <c r="H441" i="1"/>
  <c r="G441" i="1"/>
  <c r="E441" i="1"/>
  <c r="J440" i="1"/>
  <c r="I440" i="1"/>
  <c r="H440" i="1"/>
  <c r="G440" i="1"/>
  <c r="E440" i="1"/>
  <c r="J438" i="1"/>
  <c r="I438" i="1"/>
  <c r="H438" i="1"/>
  <c r="G438" i="1"/>
  <c r="E438" i="1"/>
  <c r="J437" i="1"/>
  <c r="I437" i="1"/>
  <c r="H437" i="1"/>
  <c r="G437" i="1"/>
  <c r="E437" i="1"/>
  <c r="J436" i="1"/>
  <c r="I436" i="1"/>
  <c r="H436" i="1"/>
  <c r="G436" i="1"/>
  <c r="E436" i="1"/>
  <c r="J435" i="1"/>
  <c r="I435" i="1"/>
  <c r="H435" i="1"/>
  <c r="G435" i="1"/>
  <c r="E435" i="1"/>
  <c r="I434" i="1"/>
  <c r="H434" i="1"/>
  <c r="G434" i="1"/>
  <c r="E434" i="1"/>
  <c r="J433" i="1"/>
  <c r="I433" i="1"/>
  <c r="H433" i="1"/>
  <c r="G433" i="1"/>
  <c r="E433" i="1"/>
  <c r="J432" i="1"/>
  <c r="I432" i="1"/>
  <c r="H432" i="1"/>
  <c r="G432" i="1"/>
  <c r="E432" i="1"/>
  <c r="J431" i="1"/>
  <c r="I431" i="1"/>
  <c r="H431" i="1"/>
  <c r="G431" i="1"/>
  <c r="E431" i="1"/>
  <c r="J430" i="1"/>
  <c r="I430" i="1"/>
  <c r="H430" i="1"/>
  <c r="G430" i="1"/>
  <c r="E430" i="1"/>
  <c r="J429" i="1"/>
  <c r="I429" i="1"/>
  <c r="H429" i="1"/>
  <c r="G429" i="1"/>
  <c r="E429" i="1"/>
  <c r="J428" i="1"/>
  <c r="I428" i="1"/>
  <c r="H428" i="1"/>
  <c r="G428" i="1"/>
  <c r="E428" i="1"/>
  <c r="Y445" i="1"/>
  <c r="X445" i="1"/>
  <c r="Y444" i="1"/>
  <c r="X444" i="1"/>
  <c r="Y443" i="1"/>
  <c r="X443" i="1"/>
  <c r="Y442" i="1"/>
  <c r="X442" i="1"/>
  <c r="Y441" i="1"/>
  <c r="X441" i="1"/>
  <c r="Y440" i="1"/>
  <c r="X440" i="1"/>
  <c r="Y439" i="1"/>
  <c r="X439" i="1"/>
  <c r="Y437" i="1"/>
  <c r="X437" i="1"/>
  <c r="Y436" i="1"/>
  <c r="X436" i="1"/>
  <c r="Y435" i="1"/>
  <c r="X435" i="1"/>
  <c r="Y434" i="1"/>
  <c r="X434" i="1"/>
  <c r="Y433" i="1"/>
  <c r="X433" i="1"/>
  <c r="Y432" i="1"/>
  <c r="X432" i="1"/>
  <c r="Y431" i="1"/>
  <c r="X431" i="1"/>
  <c r="Y430" i="1"/>
  <c r="X430" i="1"/>
  <c r="Y429" i="1"/>
  <c r="X429" i="1"/>
  <c r="Y428" i="1"/>
  <c r="X428" i="1"/>
  <c r="Y427" i="1"/>
  <c r="X427" i="1"/>
  <c r="Y426" i="1"/>
  <c r="X426" i="1"/>
  <c r="Y425" i="1"/>
  <c r="AA425" i="1" s="1"/>
  <c r="X425" i="1"/>
  <c r="Z425" i="1" s="1"/>
  <c r="Y424" i="1"/>
  <c r="AA424" i="1" s="1"/>
  <c r="X424" i="1"/>
  <c r="Z424" i="1" s="1"/>
  <c r="Y423" i="1"/>
  <c r="AA423" i="1" s="1"/>
  <c r="X423" i="1"/>
  <c r="Z423" i="1" s="1"/>
  <c r="Y422" i="1"/>
  <c r="AA422" i="1" s="1"/>
  <c r="X422" i="1"/>
  <c r="Z422" i="1" s="1"/>
  <c r="Y421" i="1"/>
  <c r="AA421" i="1" s="1"/>
  <c r="X421" i="1"/>
  <c r="Z421" i="1" s="1"/>
  <c r="Y420" i="1"/>
  <c r="AA420" i="1" s="1"/>
  <c r="X420" i="1"/>
  <c r="Z420" i="1" s="1"/>
  <c r="Y419" i="1"/>
  <c r="X419" i="1"/>
  <c r="Y418" i="1"/>
  <c r="X418" i="1"/>
  <c r="Y417" i="1"/>
  <c r="X417" i="1"/>
  <c r="Y416" i="1"/>
  <c r="X416" i="1"/>
  <c r="Y415" i="1"/>
  <c r="X415" i="1"/>
  <c r="Y414" i="1"/>
  <c r="X414" i="1"/>
  <c r="Y413" i="1"/>
  <c r="X413" i="1"/>
  <c r="Y412" i="1"/>
  <c r="X412" i="1"/>
  <c r="Y411" i="1"/>
  <c r="X411" i="1"/>
  <c r="Y410" i="1"/>
  <c r="X410" i="1"/>
  <c r="Y409" i="1"/>
  <c r="X409" i="1"/>
  <c r="Y408" i="1"/>
  <c r="X408" i="1"/>
  <c r="Y407" i="1"/>
  <c r="X407" i="1"/>
  <c r="Y406" i="1"/>
  <c r="X406" i="1"/>
  <c r="Y405" i="1"/>
  <c r="X405" i="1"/>
  <c r="E401" i="1"/>
  <c r="E400" i="1"/>
  <c r="E399" i="1"/>
  <c r="E398" i="1"/>
  <c r="E397" i="1"/>
  <c r="E396" i="1"/>
  <c r="E385" i="1"/>
  <c r="E384" i="1" l="1"/>
  <c r="E383" i="1"/>
  <c r="E382" i="1"/>
  <c r="E380" i="1"/>
  <c r="E379" i="1"/>
  <c r="E378" i="1"/>
  <c r="E366" i="1"/>
  <c r="E365" i="1"/>
  <c r="E364" i="1"/>
  <c r="E363" i="1"/>
  <c r="E362" i="1"/>
  <c r="J361" i="1"/>
  <c r="E360" i="1"/>
  <c r="E359" i="1"/>
  <c r="E358" i="1"/>
  <c r="E357" i="1"/>
  <c r="Y404" i="1"/>
  <c r="X404" i="1"/>
  <c r="Y403" i="1"/>
  <c r="X403" i="1"/>
  <c r="Y402" i="1"/>
  <c r="X402" i="1"/>
  <c r="Y401" i="1"/>
  <c r="X401" i="1"/>
  <c r="Y400" i="1"/>
  <c r="AA400" i="1" s="1"/>
  <c r="X400" i="1"/>
  <c r="Z400" i="1" s="1"/>
  <c r="Y399" i="1"/>
  <c r="X399" i="1"/>
  <c r="Y398" i="1"/>
  <c r="X398" i="1"/>
  <c r="Y397" i="1"/>
  <c r="X397" i="1"/>
  <c r="Y396" i="1"/>
  <c r="X396" i="1"/>
  <c r="Y395" i="1"/>
  <c r="X395" i="1"/>
  <c r="Y394" i="1"/>
  <c r="X394" i="1"/>
  <c r="Y393" i="1"/>
  <c r="X393" i="1"/>
  <c r="Y392" i="1"/>
  <c r="X392" i="1"/>
  <c r="Y391" i="1"/>
  <c r="X391" i="1"/>
  <c r="Y390" i="1"/>
  <c r="X390" i="1"/>
  <c r="Y389" i="1"/>
  <c r="X389" i="1"/>
  <c r="Y388" i="1"/>
  <c r="X388" i="1"/>
  <c r="Y387" i="1"/>
  <c r="X387" i="1"/>
  <c r="J427" i="1"/>
  <c r="I427" i="1"/>
  <c r="H427" i="1"/>
  <c r="G427" i="1"/>
  <c r="E427" i="1"/>
  <c r="J426" i="1"/>
  <c r="I426" i="1"/>
  <c r="H426" i="1"/>
  <c r="G426" i="1"/>
  <c r="E426" i="1"/>
  <c r="J425" i="1"/>
  <c r="I425" i="1"/>
  <c r="H425" i="1"/>
  <c r="G425" i="1"/>
  <c r="E425" i="1"/>
  <c r="J424" i="1"/>
  <c r="I424" i="1"/>
  <c r="H424" i="1"/>
  <c r="G424" i="1"/>
  <c r="E424" i="1"/>
  <c r="J423" i="1"/>
  <c r="I423" i="1"/>
  <c r="H423" i="1"/>
  <c r="G423" i="1"/>
  <c r="E423" i="1"/>
  <c r="J422" i="1"/>
  <c r="I422" i="1"/>
  <c r="H422" i="1"/>
  <c r="G422" i="1"/>
  <c r="E422" i="1"/>
  <c r="J421" i="1"/>
  <c r="I421" i="1"/>
  <c r="H421" i="1"/>
  <c r="G421" i="1"/>
  <c r="E421" i="1"/>
  <c r="J420" i="1"/>
  <c r="I420" i="1"/>
  <c r="H420" i="1"/>
  <c r="G420" i="1"/>
  <c r="E420" i="1"/>
  <c r="J419" i="1"/>
  <c r="I419" i="1"/>
  <c r="H419" i="1"/>
  <c r="G419" i="1"/>
  <c r="E419" i="1"/>
  <c r="J418" i="1"/>
  <c r="I418" i="1"/>
  <c r="H418" i="1"/>
  <c r="G418" i="1"/>
  <c r="E418" i="1"/>
  <c r="J417" i="1"/>
  <c r="I417" i="1"/>
  <c r="H417" i="1"/>
  <c r="G417" i="1"/>
  <c r="E417" i="1"/>
  <c r="J416" i="1"/>
  <c r="I416" i="1"/>
  <c r="H416" i="1"/>
  <c r="G416" i="1"/>
  <c r="E416" i="1"/>
  <c r="J415" i="1"/>
  <c r="I415" i="1"/>
  <c r="H415" i="1"/>
  <c r="G415" i="1"/>
  <c r="E415" i="1"/>
  <c r="J414" i="1"/>
  <c r="I414" i="1"/>
  <c r="H414" i="1"/>
  <c r="G414" i="1"/>
  <c r="E414" i="1"/>
  <c r="J413" i="1"/>
  <c r="I413" i="1"/>
  <c r="H413" i="1"/>
  <c r="G413" i="1"/>
  <c r="E413" i="1"/>
  <c r="J412" i="1"/>
  <c r="I412" i="1"/>
  <c r="H412" i="1"/>
  <c r="G412" i="1"/>
  <c r="E412" i="1"/>
  <c r="J411" i="1"/>
  <c r="I411" i="1"/>
  <c r="H411" i="1"/>
  <c r="G411" i="1"/>
  <c r="E411" i="1"/>
  <c r="J410" i="1"/>
  <c r="I410" i="1"/>
  <c r="H410" i="1"/>
  <c r="G410" i="1"/>
  <c r="E410" i="1"/>
  <c r="J409" i="1"/>
  <c r="I409" i="1"/>
  <c r="H409" i="1"/>
  <c r="G409" i="1"/>
  <c r="E409" i="1"/>
  <c r="J408" i="1"/>
  <c r="I408" i="1"/>
  <c r="H408" i="1"/>
  <c r="G408" i="1"/>
  <c r="E408" i="1"/>
  <c r="J407" i="1"/>
  <c r="I407" i="1"/>
  <c r="H407" i="1"/>
  <c r="G407" i="1"/>
  <c r="E407" i="1"/>
  <c r="J406" i="1"/>
  <c r="I406" i="1"/>
  <c r="H406" i="1"/>
  <c r="G406" i="1"/>
  <c r="E406" i="1"/>
  <c r="J405" i="1"/>
  <c r="I405" i="1"/>
  <c r="H405" i="1"/>
  <c r="G405" i="1"/>
  <c r="E405" i="1"/>
  <c r="J404" i="1"/>
  <c r="I404" i="1"/>
  <c r="H404" i="1"/>
  <c r="G404" i="1"/>
  <c r="E404" i="1"/>
  <c r="J403" i="1"/>
  <c r="I403" i="1"/>
  <c r="H403" i="1"/>
  <c r="G403" i="1"/>
  <c r="E403" i="1"/>
  <c r="J402" i="1"/>
  <c r="I402" i="1"/>
  <c r="H402" i="1"/>
  <c r="G402" i="1"/>
  <c r="E402" i="1"/>
  <c r="J401" i="1"/>
  <c r="I401" i="1"/>
  <c r="H401" i="1"/>
  <c r="G401" i="1"/>
  <c r="J400" i="1"/>
  <c r="I400" i="1"/>
  <c r="H400" i="1"/>
  <c r="G400" i="1"/>
  <c r="J399" i="1"/>
  <c r="I399" i="1"/>
  <c r="H399" i="1"/>
  <c r="G399" i="1"/>
  <c r="J398" i="1"/>
  <c r="I398" i="1"/>
  <c r="H398" i="1"/>
  <c r="G398" i="1"/>
  <c r="J397" i="1"/>
  <c r="I397" i="1"/>
  <c r="H397" i="1"/>
  <c r="G397" i="1"/>
  <c r="J396" i="1"/>
  <c r="I396" i="1"/>
  <c r="H396" i="1"/>
  <c r="G396" i="1"/>
  <c r="J395" i="1"/>
  <c r="I395" i="1"/>
  <c r="H395" i="1"/>
  <c r="G395" i="1"/>
  <c r="E395" i="1"/>
  <c r="J394" i="1"/>
  <c r="I394" i="1"/>
  <c r="H394" i="1"/>
  <c r="G394" i="1"/>
  <c r="E394" i="1"/>
  <c r="J393" i="1"/>
  <c r="I393" i="1"/>
  <c r="H393" i="1"/>
  <c r="G393" i="1"/>
  <c r="E393" i="1"/>
  <c r="J392" i="1"/>
  <c r="I392" i="1"/>
  <c r="H392" i="1"/>
  <c r="G392" i="1"/>
  <c r="E392" i="1"/>
  <c r="J391" i="1"/>
  <c r="I391" i="1"/>
  <c r="H391" i="1"/>
  <c r="G391" i="1"/>
  <c r="E391" i="1"/>
  <c r="J390" i="1"/>
  <c r="I390" i="1"/>
  <c r="H390" i="1"/>
  <c r="G390" i="1"/>
  <c r="E390" i="1"/>
  <c r="J389" i="1"/>
  <c r="I389" i="1"/>
  <c r="H389" i="1"/>
  <c r="G389" i="1"/>
  <c r="E389" i="1"/>
  <c r="J388" i="1"/>
  <c r="I388" i="1"/>
  <c r="H388" i="1"/>
  <c r="G388" i="1"/>
  <c r="E388" i="1"/>
  <c r="J387" i="1"/>
  <c r="I387" i="1"/>
  <c r="H387" i="1"/>
  <c r="G387" i="1"/>
  <c r="E387" i="1"/>
  <c r="J386" i="1"/>
  <c r="I386" i="1"/>
  <c r="H386" i="1"/>
  <c r="G386" i="1"/>
  <c r="E386" i="1"/>
  <c r="J385" i="1"/>
  <c r="I385" i="1"/>
  <c r="H385" i="1"/>
  <c r="G385" i="1"/>
  <c r="J384" i="1"/>
  <c r="I384" i="1"/>
  <c r="H384" i="1"/>
  <c r="G384" i="1"/>
  <c r="I383" i="1"/>
  <c r="H383" i="1"/>
  <c r="G383" i="1"/>
  <c r="E356" i="1"/>
  <c r="E355" i="1"/>
  <c r="E354" i="1"/>
  <c r="Y386" i="1"/>
  <c r="X386" i="1"/>
  <c r="Y385" i="1"/>
  <c r="X385" i="1"/>
  <c r="Y384" i="1"/>
  <c r="X384" i="1"/>
  <c r="Y383" i="1"/>
  <c r="X383" i="1"/>
  <c r="Y382" i="1"/>
  <c r="X382" i="1"/>
  <c r="Y381" i="1"/>
  <c r="X381" i="1"/>
  <c r="Y380" i="1"/>
  <c r="X380" i="1"/>
  <c r="Y379" i="1"/>
  <c r="X379" i="1"/>
  <c r="Y378" i="1"/>
  <c r="X378" i="1"/>
  <c r="Y377" i="1"/>
  <c r="X377" i="1"/>
  <c r="Y376" i="1"/>
  <c r="X376" i="1"/>
  <c r="Y375" i="1"/>
  <c r="X375" i="1"/>
  <c r="Y374" i="1"/>
  <c r="X374" i="1"/>
  <c r="Y373" i="1"/>
  <c r="X373" i="1"/>
  <c r="Y372" i="1"/>
  <c r="X372" i="1"/>
  <c r="Y371" i="1"/>
  <c r="X371" i="1"/>
  <c r="Y370" i="1"/>
  <c r="X370" i="1"/>
  <c r="Y369" i="1"/>
  <c r="X369" i="1"/>
  <c r="Y368" i="1"/>
  <c r="X368" i="1"/>
  <c r="Y367" i="1"/>
  <c r="X367" i="1"/>
  <c r="Y366" i="1"/>
  <c r="X366" i="1"/>
  <c r="Y365" i="1"/>
  <c r="X365" i="1"/>
  <c r="Y364" i="1"/>
  <c r="X364" i="1"/>
  <c r="Y363" i="1"/>
  <c r="X363" i="1"/>
  <c r="Y362" i="1"/>
  <c r="X362" i="1"/>
  <c r="Y361" i="1"/>
  <c r="X361" i="1"/>
  <c r="Y360" i="1"/>
  <c r="X360" i="1"/>
  <c r="Y359" i="1"/>
  <c r="X359" i="1"/>
  <c r="Y358" i="1"/>
  <c r="X358" i="1"/>
  <c r="Y357" i="1"/>
  <c r="X357" i="1"/>
  <c r="Y356" i="1"/>
  <c r="X356" i="1"/>
  <c r="Y355" i="1"/>
  <c r="X355" i="1"/>
  <c r="Y354" i="1"/>
  <c r="X354" i="1"/>
  <c r="Y353" i="1"/>
  <c r="X353" i="1"/>
  <c r="E353" i="1"/>
  <c r="E345" i="1"/>
  <c r="Y344" i="1"/>
  <c r="X344" i="1"/>
  <c r="E344" i="1"/>
  <c r="E343" i="1"/>
  <c r="E341" i="1"/>
  <c r="Y341" i="1"/>
  <c r="AA341" i="1" s="1"/>
  <c r="X341" i="1"/>
  <c r="Z341" i="1" s="1"/>
  <c r="Y340" i="1"/>
  <c r="AA340" i="1" s="1"/>
  <c r="X340" i="1"/>
  <c r="Z340" i="1" s="1"/>
  <c r="E339" i="1"/>
  <c r="E337" i="1"/>
  <c r="E336" i="1"/>
  <c r="I335" i="1"/>
  <c r="E335" i="1"/>
  <c r="E334" i="1"/>
  <c r="E333" i="1"/>
  <c r="E332" i="1"/>
  <c r="E331" i="1"/>
  <c r="E330" i="1"/>
  <c r="E329" i="1"/>
  <c r="E328" i="1"/>
  <c r="E327" i="1"/>
  <c r="E326" i="1"/>
  <c r="E325" i="1"/>
  <c r="E323" i="1"/>
  <c r="E322" i="1"/>
  <c r="E321" i="1"/>
  <c r="E320" i="1"/>
  <c r="E318" i="1"/>
  <c r="E317" i="1"/>
  <c r="Y316" i="1"/>
  <c r="X316" i="1"/>
  <c r="E316" i="1"/>
  <c r="E315" i="1"/>
  <c r="E312" i="1"/>
  <c r="E311" i="1"/>
  <c r="E310" i="1"/>
  <c r="E309" i="1"/>
  <c r="E308" i="1"/>
  <c r="E307" i="1"/>
  <c r="E306" i="1"/>
  <c r="E305" i="1"/>
  <c r="Y352" i="1"/>
  <c r="X352" i="1"/>
  <c r="Y351" i="1"/>
  <c r="X351" i="1"/>
  <c r="Y350" i="1"/>
  <c r="X350" i="1"/>
  <c r="Y349" i="1"/>
  <c r="X349" i="1"/>
  <c r="Y348" i="1"/>
  <c r="X348" i="1"/>
  <c r="Y347" i="1"/>
  <c r="X347" i="1"/>
  <c r="Y346" i="1"/>
  <c r="X346" i="1"/>
  <c r="Y345" i="1"/>
  <c r="X345" i="1"/>
  <c r="Y343" i="1"/>
  <c r="AA343" i="1" s="1"/>
  <c r="X343" i="1"/>
  <c r="Z343" i="1" s="1"/>
  <c r="Y342" i="1"/>
  <c r="AA342" i="1" s="1"/>
  <c r="X342" i="1"/>
  <c r="Z342" i="1" s="1"/>
  <c r="Y339" i="1"/>
  <c r="X339" i="1"/>
  <c r="Y338" i="1"/>
  <c r="X338" i="1"/>
  <c r="Y337" i="1"/>
  <c r="AA337" i="1" s="1"/>
  <c r="X337" i="1"/>
  <c r="Z337" i="1" s="1"/>
  <c r="Y336" i="1"/>
  <c r="X336" i="1"/>
  <c r="Y335" i="1"/>
  <c r="X335" i="1"/>
  <c r="Y334" i="1"/>
  <c r="X334" i="1"/>
  <c r="Y333" i="1"/>
  <c r="X333" i="1"/>
  <c r="Y332" i="1"/>
  <c r="X332" i="1"/>
  <c r="Y331" i="1"/>
  <c r="X331" i="1"/>
  <c r="Y330" i="1"/>
  <c r="X330" i="1"/>
  <c r="Y329" i="1"/>
  <c r="X329" i="1"/>
  <c r="Y328" i="1"/>
  <c r="X328" i="1"/>
  <c r="Y327" i="1"/>
  <c r="X327" i="1"/>
  <c r="Y326" i="1"/>
  <c r="X326" i="1"/>
  <c r="Y325" i="1"/>
  <c r="X325" i="1"/>
  <c r="Y324" i="1"/>
  <c r="X324" i="1"/>
  <c r="Y323" i="1"/>
  <c r="X323" i="1"/>
  <c r="Y322" i="1"/>
  <c r="X322" i="1"/>
  <c r="Y321" i="1"/>
  <c r="X321" i="1"/>
  <c r="Y320" i="1"/>
  <c r="X320" i="1"/>
  <c r="Y319" i="1"/>
  <c r="Z319" i="1" s="1"/>
  <c r="AA319" i="1" s="1"/>
  <c r="X319" i="1"/>
  <c r="Y318" i="1"/>
  <c r="X318" i="1"/>
  <c r="Y317" i="1"/>
  <c r="X317" i="1"/>
  <c r="Y315" i="1"/>
  <c r="X315" i="1"/>
  <c r="Y314" i="1"/>
  <c r="X314" i="1"/>
  <c r="Y313" i="1"/>
  <c r="X313" i="1"/>
  <c r="Y312" i="1"/>
  <c r="X312" i="1"/>
  <c r="Y311" i="1"/>
  <c r="X311" i="1"/>
  <c r="Y310" i="1"/>
  <c r="X310" i="1"/>
  <c r="Y309" i="1"/>
  <c r="X309" i="1"/>
  <c r="Y308" i="1"/>
  <c r="X308" i="1"/>
  <c r="Y307" i="1"/>
  <c r="X307" i="1"/>
  <c r="Y306" i="1"/>
  <c r="X306" i="1"/>
  <c r="Y305" i="1"/>
  <c r="X305" i="1"/>
  <c r="E302" i="1"/>
  <c r="X304" i="1"/>
  <c r="X303" i="1"/>
  <c r="X302" i="1"/>
  <c r="X301" i="1"/>
  <c r="J382" i="1"/>
  <c r="I382" i="1"/>
  <c r="H382" i="1"/>
  <c r="G382" i="1"/>
  <c r="J381" i="1"/>
  <c r="I381" i="1"/>
  <c r="H381" i="1"/>
  <c r="G381" i="1"/>
  <c r="E381" i="1"/>
  <c r="J380" i="1"/>
  <c r="I380" i="1"/>
  <c r="H380" i="1"/>
  <c r="G380" i="1"/>
  <c r="J379" i="1"/>
  <c r="I379" i="1"/>
  <c r="H379" i="1"/>
  <c r="G379" i="1"/>
  <c r="J378" i="1"/>
  <c r="I378" i="1"/>
  <c r="H378" i="1"/>
  <c r="G378" i="1"/>
  <c r="J377" i="1"/>
  <c r="I377" i="1"/>
  <c r="H377" i="1"/>
  <c r="G377" i="1"/>
  <c r="E377" i="1"/>
  <c r="J376" i="1"/>
  <c r="I376" i="1"/>
  <c r="H376" i="1"/>
  <c r="E376" i="1"/>
  <c r="J375" i="1"/>
  <c r="I375" i="1"/>
  <c r="H375" i="1"/>
  <c r="G375" i="1"/>
  <c r="E375" i="1"/>
  <c r="J374" i="1"/>
  <c r="I374" i="1"/>
  <c r="H374" i="1"/>
  <c r="G374" i="1"/>
  <c r="E374" i="1"/>
  <c r="J373" i="1"/>
  <c r="I373" i="1"/>
  <c r="H373" i="1"/>
  <c r="G373" i="1"/>
  <c r="E373" i="1"/>
  <c r="J372" i="1"/>
  <c r="I372" i="1"/>
  <c r="H372" i="1"/>
  <c r="G372" i="1"/>
  <c r="E372" i="1"/>
  <c r="J371" i="1"/>
  <c r="I371" i="1"/>
  <c r="H371" i="1"/>
  <c r="G371" i="1"/>
  <c r="E371" i="1"/>
  <c r="J370" i="1"/>
  <c r="I370" i="1"/>
  <c r="H370" i="1"/>
  <c r="G370" i="1"/>
  <c r="E370" i="1"/>
  <c r="J369" i="1"/>
  <c r="I369" i="1"/>
  <c r="H369" i="1"/>
  <c r="G369" i="1"/>
  <c r="E369" i="1"/>
  <c r="J368" i="1"/>
  <c r="I368" i="1"/>
  <c r="H368" i="1"/>
  <c r="G368" i="1"/>
  <c r="E368" i="1"/>
  <c r="J367" i="1"/>
  <c r="I367" i="1"/>
  <c r="H367" i="1"/>
  <c r="G367" i="1"/>
  <c r="E367" i="1"/>
  <c r="J366" i="1"/>
  <c r="I366" i="1"/>
  <c r="H366" i="1"/>
  <c r="G366" i="1"/>
  <c r="J365" i="1"/>
  <c r="I365" i="1"/>
  <c r="H365" i="1"/>
  <c r="G365" i="1"/>
  <c r="J364" i="1"/>
  <c r="I364" i="1"/>
  <c r="H364" i="1"/>
  <c r="G364" i="1"/>
  <c r="J363" i="1"/>
  <c r="I363" i="1"/>
  <c r="H363" i="1"/>
  <c r="G363" i="1"/>
  <c r="J362" i="1"/>
  <c r="I362" i="1"/>
  <c r="H362" i="1"/>
  <c r="G362" i="1"/>
  <c r="I361" i="1"/>
  <c r="H361" i="1"/>
  <c r="G361" i="1"/>
  <c r="E361" i="1"/>
  <c r="J360" i="1"/>
  <c r="I360" i="1"/>
  <c r="H360" i="1"/>
  <c r="G360" i="1"/>
  <c r="J359" i="1"/>
  <c r="I359" i="1"/>
  <c r="H359" i="1"/>
  <c r="G359" i="1"/>
  <c r="J358" i="1"/>
  <c r="I358" i="1"/>
  <c r="H358" i="1"/>
  <c r="G358" i="1"/>
  <c r="J357" i="1"/>
  <c r="I357" i="1"/>
  <c r="H357" i="1"/>
  <c r="G357" i="1"/>
  <c r="J356" i="1"/>
  <c r="I356" i="1"/>
  <c r="H356" i="1"/>
  <c r="G356" i="1"/>
  <c r="J355" i="1"/>
  <c r="I355" i="1"/>
  <c r="H355" i="1"/>
  <c r="G355" i="1"/>
  <c r="J354" i="1"/>
  <c r="I354" i="1"/>
  <c r="H354" i="1"/>
  <c r="G354" i="1"/>
  <c r="J353" i="1"/>
  <c r="I353" i="1"/>
  <c r="H353" i="1"/>
  <c r="G353" i="1"/>
  <c r="J352" i="1"/>
  <c r="I352" i="1"/>
  <c r="H352" i="1"/>
  <c r="G352" i="1"/>
  <c r="E352" i="1"/>
  <c r="J351" i="1"/>
  <c r="I351" i="1"/>
  <c r="H351" i="1"/>
  <c r="G351" i="1"/>
  <c r="E351" i="1"/>
  <c r="J350" i="1"/>
  <c r="I350" i="1"/>
  <c r="H350" i="1"/>
  <c r="G350" i="1"/>
  <c r="E350" i="1"/>
  <c r="J349" i="1"/>
  <c r="I349" i="1"/>
  <c r="H349" i="1"/>
  <c r="G349" i="1"/>
  <c r="E349" i="1"/>
  <c r="J348" i="1"/>
  <c r="I348" i="1"/>
  <c r="H348" i="1"/>
  <c r="G348" i="1"/>
  <c r="E348" i="1"/>
  <c r="J347" i="1"/>
  <c r="I347" i="1"/>
  <c r="H347" i="1"/>
  <c r="G347" i="1"/>
  <c r="E347" i="1"/>
  <c r="J346" i="1"/>
  <c r="I346" i="1"/>
  <c r="H346" i="1"/>
  <c r="G346" i="1"/>
  <c r="E346" i="1"/>
  <c r="J345" i="1"/>
  <c r="I345" i="1"/>
  <c r="H345" i="1"/>
  <c r="G345" i="1"/>
  <c r="J344" i="1"/>
  <c r="I344" i="1"/>
  <c r="H344" i="1"/>
  <c r="G344" i="1"/>
  <c r="J343" i="1"/>
  <c r="I343" i="1"/>
  <c r="H343" i="1"/>
  <c r="G343" i="1"/>
  <c r="J342" i="1"/>
  <c r="I342" i="1"/>
  <c r="H342" i="1"/>
  <c r="G342" i="1"/>
  <c r="E342" i="1"/>
  <c r="J341" i="1"/>
  <c r="I341" i="1"/>
  <c r="H341" i="1"/>
  <c r="G341" i="1"/>
  <c r="J340" i="1"/>
  <c r="I340" i="1"/>
  <c r="H340" i="1"/>
  <c r="G340" i="1"/>
  <c r="E340" i="1"/>
  <c r="J339" i="1"/>
  <c r="I339" i="1"/>
  <c r="H339" i="1"/>
  <c r="G339" i="1"/>
  <c r="J338" i="1"/>
  <c r="I338" i="1"/>
  <c r="H338" i="1"/>
  <c r="G338" i="1"/>
  <c r="E338" i="1"/>
  <c r="J337" i="1"/>
  <c r="I337" i="1"/>
  <c r="H337" i="1"/>
  <c r="G337" i="1"/>
  <c r="J336" i="1"/>
  <c r="I336" i="1"/>
  <c r="H336" i="1"/>
  <c r="G336" i="1"/>
  <c r="H335" i="1"/>
  <c r="J335" i="1" s="1"/>
  <c r="G335" i="1"/>
  <c r="J334" i="1"/>
  <c r="I334" i="1"/>
  <c r="H334" i="1"/>
  <c r="G334" i="1"/>
  <c r="J333" i="1"/>
  <c r="I333" i="1"/>
  <c r="H333" i="1"/>
  <c r="J332" i="1"/>
  <c r="I332" i="1"/>
  <c r="H332" i="1"/>
  <c r="G332" i="1"/>
  <c r="J331" i="1"/>
  <c r="I331" i="1"/>
  <c r="H331" i="1"/>
  <c r="G331" i="1"/>
  <c r="J330" i="1"/>
  <c r="I330" i="1"/>
  <c r="H330" i="1"/>
  <c r="G330" i="1"/>
  <c r="J329" i="1"/>
  <c r="I329" i="1"/>
  <c r="H329" i="1"/>
  <c r="G329" i="1"/>
  <c r="J328" i="1"/>
  <c r="I328" i="1"/>
  <c r="H328" i="1"/>
  <c r="G328" i="1"/>
  <c r="J327" i="1"/>
  <c r="I327" i="1"/>
  <c r="H327" i="1"/>
  <c r="J326" i="1"/>
  <c r="I326" i="1"/>
  <c r="H326" i="1"/>
  <c r="G326" i="1"/>
  <c r="J325" i="1"/>
  <c r="I325" i="1"/>
  <c r="H325" i="1"/>
  <c r="G325" i="1"/>
  <c r="J324" i="1"/>
  <c r="I324" i="1"/>
  <c r="H324" i="1"/>
  <c r="G324" i="1"/>
  <c r="E324" i="1"/>
  <c r="J323" i="1"/>
  <c r="I323" i="1"/>
  <c r="H323" i="1"/>
  <c r="G323" i="1"/>
  <c r="J322" i="1"/>
  <c r="I322" i="1"/>
  <c r="H322" i="1"/>
  <c r="G322" i="1"/>
  <c r="I321" i="1"/>
  <c r="H321" i="1"/>
  <c r="G321" i="1"/>
  <c r="J320" i="1"/>
  <c r="I320" i="1"/>
  <c r="H320" i="1"/>
  <c r="G320" i="1"/>
  <c r="J319" i="1"/>
  <c r="I319" i="1"/>
  <c r="H319" i="1"/>
  <c r="G319" i="1"/>
  <c r="E319" i="1"/>
  <c r="J318" i="1"/>
  <c r="I318" i="1"/>
  <c r="H318" i="1"/>
  <c r="G318" i="1"/>
  <c r="J317" i="1"/>
  <c r="I317" i="1"/>
  <c r="H317" i="1"/>
  <c r="G317" i="1"/>
  <c r="J316" i="1"/>
  <c r="I316" i="1"/>
  <c r="H316" i="1"/>
  <c r="G316" i="1"/>
  <c r="J315" i="1"/>
  <c r="I315" i="1"/>
  <c r="H315" i="1"/>
  <c r="G315" i="1"/>
  <c r="J314" i="1"/>
  <c r="I314" i="1"/>
  <c r="H314" i="1"/>
  <c r="G314" i="1"/>
  <c r="E314" i="1"/>
  <c r="J313" i="1"/>
  <c r="I313" i="1"/>
  <c r="H313" i="1"/>
  <c r="G313" i="1"/>
  <c r="E313" i="1"/>
  <c r="J312" i="1"/>
  <c r="I312" i="1"/>
  <c r="H312" i="1"/>
  <c r="G312" i="1"/>
  <c r="J311" i="1"/>
  <c r="I311" i="1"/>
  <c r="H311" i="1"/>
  <c r="G311" i="1"/>
  <c r="J310" i="1"/>
  <c r="I310" i="1"/>
  <c r="H310" i="1"/>
  <c r="G310" i="1"/>
  <c r="J309" i="1"/>
  <c r="I309" i="1"/>
  <c r="H309" i="1"/>
  <c r="G309" i="1"/>
  <c r="J308" i="1"/>
  <c r="I308" i="1"/>
  <c r="H308" i="1"/>
  <c r="G308" i="1"/>
  <c r="J307" i="1"/>
  <c r="I307" i="1"/>
  <c r="H307" i="1"/>
  <c r="G307" i="1"/>
  <c r="J306" i="1"/>
  <c r="I306" i="1"/>
  <c r="H306" i="1"/>
  <c r="G306" i="1"/>
  <c r="J305" i="1"/>
  <c r="I305" i="1"/>
  <c r="H305" i="1"/>
  <c r="G305" i="1"/>
  <c r="J304" i="1"/>
  <c r="I304" i="1"/>
  <c r="H304" i="1"/>
  <c r="G304" i="1"/>
  <c r="E304" i="1"/>
  <c r="X300" i="1"/>
  <c r="Y300" i="1" s="1"/>
  <c r="AA300" i="1" s="1"/>
  <c r="X299" i="1"/>
  <c r="Y299" i="1" s="1"/>
  <c r="AA299" i="1" s="1"/>
  <c r="X298" i="1"/>
  <c r="Y298" i="1" s="1"/>
  <c r="AA298" i="1" s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78" i="1"/>
  <c r="E277" i="1"/>
  <c r="E276" i="1"/>
  <c r="Z300" i="1" l="1"/>
  <c r="Z299" i="1"/>
  <c r="Z298" i="1"/>
  <c r="Y301" i="1"/>
  <c r="Y302" i="1"/>
  <c r="Y303" i="1"/>
  <c r="Y304" i="1"/>
  <c r="E275" i="1"/>
  <c r="E274" i="1"/>
  <c r="E273" i="1"/>
  <c r="E272" i="1"/>
  <c r="E271" i="1"/>
  <c r="E270" i="1"/>
  <c r="E269" i="1"/>
  <c r="E264" i="1"/>
  <c r="E263" i="1"/>
  <c r="Y297" i="1"/>
  <c r="AA297" i="1" s="1"/>
  <c r="X297" i="1"/>
  <c r="Z297" i="1" s="1"/>
  <c r="Y296" i="1"/>
  <c r="AA296" i="1" s="1"/>
  <c r="X296" i="1"/>
  <c r="Z296" i="1" s="1"/>
  <c r="Y295" i="1"/>
  <c r="AA295" i="1" s="1"/>
  <c r="X295" i="1"/>
  <c r="Z295" i="1" s="1"/>
  <c r="Y294" i="1"/>
  <c r="AA294" i="1" s="1"/>
  <c r="X294" i="1"/>
  <c r="Z294" i="1" s="1"/>
  <c r="Y293" i="1"/>
  <c r="AA293" i="1" s="1"/>
  <c r="X293" i="1"/>
  <c r="Z293" i="1" s="1"/>
  <c r="Y292" i="1"/>
  <c r="AA292" i="1" s="1"/>
  <c r="X292" i="1"/>
  <c r="Z292" i="1" s="1"/>
  <c r="Y291" i="1"/>
  <c r="X291" i="1"/>
  <c r="Y290" i="1"/>
  <c r="X290" i="1"/>
  <c r="Y289" i="1"/>
  <c r="X289" i="1"/>
  <c r="Y288" i="1"/>
  <c r="X288" i="1"/>
  <c r="Y287" i="1"/>
  <c r="X287" i="1"/>
  <c r="Y286" i="1"/>
  <c r="X286" i="1"/>
  <c r="Y285" i="1"/>
  <c r="X285" i="1"/>
  <c r="Y284" i="1"/>
  <c r="X284" i="1"/>
  <c r="Y283" i="1"/>
  <c r="X283" i="1"/>
  <c r="Y282" i="1"/>
  <c r="X282" i="1"/>
  <c r="Y281" i="1"/>
  <c r="X281" i="1"/>
  <c r="Y280" i="1"/>
  <c r="X280" i="1"/>
  <c r="Y279" i="1"/>
  <c r="X279" i="1"/>
  <c r="Y278" i="1"/>
  <c r="X278" i="1"/>
  <c r="Y277" i="1"/>
  <c r="X277" i="1"/>
  <c r="Y276" i="1"/>
  <c r="X276" i="1"/>
  <c r="Y275" i="1"/>
  <c r="X275" i="1"/>
  <c r="Y274" i="1"/>
  <c r="X274" i="1"/>
  <c r="Y273" i="1"/>
  <c r="X273" i="1"/>
  <c r="Y272" i="1"/>
  <c r="X272" i="1"/>
  <c r="Y271" i="1"/>
  <c r="X271" i="1"/>
  <c r="Y270" i="1"/>
  <c r="X270" i="1"/>
  <c r="Y269" i="1"/>
  <c r="X269" i="1"/>
  <c r="Y268" i="1"/>
  <c r="X268" i="1"/>
  <c r="Y267" i="1"/>
  <c r="X267" i="1"/>
  <c r="Y266" i="1"/>
  <c r="X266" i="1"/>
  <c r="Y265" i="1"/>
  <c r="X265" i="1"/>
  <c r="Y264" i="1"/>
  <c r="X264" i="1"/>
  <c r="Y263" i="1"/>
  <c r="X263" i="1"/>
  <c r="Y262" i="1"/>
  <c r="X262" i="1"/>
  <c r="E262" i="1"/>
  <c r="J261" i="1"/>
  <c r="I261" i="1"/>
  <c r="H261" i="1"/>
  <c r="E261" i="1"/>
  <c r="J260" i="1"/>
  <c r="I260" i="1"/>
  <c r="H260" i="1"/>
  <c r="G260" i="1"/>
  <c r="E260" i="1"/>
  <c r="J259" i="1"/>
  <c r="I259" i="1"/>
  <c r="H259" i="1"/>
  <c r="G259" i="1"/>
  <c r="E259" i="1"/>
  <c r="J258" i="1"/>
  <c r="I258" i="1"/>
  <c r="H258" i="1"/>
  <c r="G258" i="1"/>
  <c r="E258" i="1"/>
  <c r="J257" i="1"/>
  <c r="I257" i="1"/>
  <c r="H257" i="1"/>
  <c r="G257" i="1"/>
  <c r="E257" i="1"/>
  <c r="J256" i="1"/>
  <c r="I256" i="1"/>
  <c r="H256" i="1"/>
  <c r="G256" i="1"/>
  <c r="E256" i="1"/>
  <c r="E253" i="1"/>
  <c r="E252" i="1"/>
  <c r="E251" i="1"/>
  <c r="E250" i="1"/>
  <c r="E249" i="1"/>
  <c r="E247" i="1"/>
  <c r="E246" i="1"/>
  <c r="E245" i="1"/>
  <c r="E244" i="1"/>
  <c r="E242" i="1"/>
  <c r="E241" i="1"/>
  <c r="J255" i="1"/>
  <c r="I255" i="1"/>
  <c r="H255" i="1"/>
  <c r="G255" i="1"/>
  <c r="J254" i="1"/>
  <c r="I254" i="1"/>
  <c r="H254" i="1"/>
  <c r="G254" i="1"/>
  <c r="J253" i="1"/>
  <c r="I253" i="1"/>
  <c r="H253" i="1"/>
  <c r="G253" i="1"/>
  <c r="J252" i="1"/>
  <c r="I252" i="1"/>
  <c r="H252" i="1"/>
  <c r="G252" i="1"/>
  <c r="J251" i="1"/>
  <c r="I251" i="1"/>
  <c r="H251" i="1"/>
  <c r="G251" i="1"/>
  <c r="J250" i="1"/>
  <c r="I250" i="1"/>
  <c r="H250" i="1"/>
  <c r="J249" i="1"/>
  <c r="I249" i="1"/>
  <c r="H249" i="1"/>
  <c r="G249" i="1"/>
  <c r="J248" i="1"/>
  <c r="I248" i="1"/>
  <c r="H248" i="1"/>
  <c r="G248" i="1"/>
  <c r="J247" i="1"/>
  <c r="I247" i="1"/>
  <c r="H247" i="1"/>
  <c r="G247" i="1"/>
  <c r="J246" i="1"/>
  <c r="I246" i="1"/>
  <c r="H246" i="1"/>
  <c r="G246" i="1"/>
  <c r="J245" i="1"/>
  <c r="I245" i="1"/>
  <c r="H245" i="1"/>
  <c r="G245" i="1"/>
  <c r="E240" i="1"/>
  <c r="E239" i="1"/>
  <c r="E237" i="1"/>
  <c r="Y236" i="1"/>
  <c r="X236" i="1"/>
  <c r="E236" i="1"/>
  <c r="Y235" i="1"/>
  <c r="X235" i="1"/>
  <c r="E235" i="1"/>
  <c r="Y234" i="1"/>
  <c r="X234" i="1"/>
  <c r="E234" i="1"/>
  <c r="E233" i="1"/>
  <c r="E232" i="1"/>
  <c r="E229" i="1"/>
  <c r="E228" i="1"/>
  <c r="J303" i="1" l="1"/>
  <c r="I303" i="1"/>
  <c r="H303" i="1"/>
  <c r="G303" i="1"/>
  <c r="J302" i="1"/>
  <c r="I302" i="1"/>
  <c r="H302" i="1"/>
  <c r="G302" i="1"/>
  <c r="J301" i="1"/>
  <c r="I301" i="1"/>
  <c r="H301" i="1"/>
  <c r="G301" i="1"/>
  <c r="J300" i="1"/>
  <c r="I300" i="1"/>
  <c r="H300" i="1"/>
  <c r="G300" i="1"/>
  <c r="J299" i="1"/>
  <c r="I299" i="1"/>
  <c r="H299" i="1"/>
  <c r="G299" i="1"/>
  <c r="J298" i="1"/>
  <c r="I298" i="1"/>
  <c r="H298" i="1"/>
  <c r="G298" i="1"/>
  <c r="J297" i="1"/>
  <c r="I297" i="1"/>
  <c r="H297" i="1"/>
  <c r="G297" i="1"/>
  <c r="J296" i="1"/>
  <c r="I296" i="1"/>
  <c r="H296" i="1"/>
  <c r="G296" i="1"/>
  <c r="J295" i="1"/>
  <c r="I295" i="1"/>
  <c r="H295" i="1"/>
  <c r="G295" i="1"/>
  <c r="J294" i="1"/>
  <c r="I294" i="1"/>
  <c r="H294" i="1"/>
  <c r="G294" i="1"/>
  <c r="J293" i="1"/>
  <c r="I293" i="1"/>
  <c r="H293" i="1"/>
  <c r="G293" i="1"/>
  <c r="J292" i="1"/>
  <c r="I292" i="1"/>
  <c r="H292" i="1"/>
  <c r="G292" i="1"/>
  <c r="J291" i="1"/>
  <c r="I291" i="1"/>
  <c r="H291" i="1"/>
  <c r="G291" i="1"/>
  <c r="J290" i="1"/>
  <c r="I290" i="1"/>
  <c r="H290" i="1"/>
  <c r="G290" i="1"/>
  <c r="J289" i="1"/>
  <c r="I289" i="1"/>
  <c r="H289" i="1"/>
  <c r="G289" i="1"/>
  <c r="J288" i="1"/>
  <c r="I288" i="1"/>
  <c r="H288" i="1"/>
  <c r="G288" i="1"/>
  <c r="J287" i="1"/>
  <c r="I287" i="1"/>
  <c r="H287" i="1"/>
  <c r="G287" i="1"/>
  <c r="J286" i="1"/>
  <c r="I286" i="1"/>
  <c r="H286" i="1"/>
  <c r="G286" i="1"/>
  <c r="J285" i="1"/>
  <c r="I285" i="1"/>
  <c r="H285" i="1"/>
  <c r="G285" i="1"/>
  <c r="J284" i="1"/>
  <c r="I284" i="1"/>
  <c r="H284" i="1"/>
  <c r="G284" i="1"/>
  <c r="J283" i="1"/>
  <c r="I283" i="1"/>
  <c r="H283" i="1"/>
  <c r="G283" i="1"/>
  <c r="J282" i="1"/>
  <c r="I282" i="1"/>
  <c r="H282" i="1"/>
  <c r="G282" i="1"/>
  <c r="J281" i="1"/>
  <c r="I281" i="1"/>
  <c r="H281" i="1"/>
  <c r="G281" i="1"/>
  <c r="J280" i="1"/>
  <c r="I280" i="1"/>
  <c r="H280" i="1"/>
  <c r="J279" i="1"/>
  <c r="I279" i="1"/>
  <c r="H279" i="1"/>
  <c r="G279" i="1"/>
  <c r="J278" i="1"/>
  <c r="I278" i="1"/>
  <c r="H278" i="1"/>
  <c r="G278" i="1"/>
  <c r="J277" i="1"/>
  <c r="I277" i="1"/>
  <c r="H277" i="1"/>
  <c r="G277" i="1"/>
  <c r="J276" i="1"/>
  <c r="I276" i="1"/>
  <c r="H276" i="1"/>
  <c r="G276" i="1"/>
  <c r="J275" i="1"/>
  <c r="I275" i="1"/>
  <c r="H275" i="1"/>
  <c r="G275" i="1"/>
  <c r="J274" i="1"/>
  <c r="I274" i="1"/>
  <c r="H274" i="1"/>
  <c r="G274" i="1"/>
  <c r="J273" i="1"/>
  <c r="I273" i="1"/>
  <c r="H273" i="1"/>
  <c r="G273" i="1"/>
  <c r="J272" i="1"/>
  <c r="I272" i="1"/>
  <c r="H272" i="1"/>
  <c r="G272" i="1"/>
  <c r="J271" i="1"/>
  <c r="I271" i="1"/>
  <c r="H271" i="1"/>
  <c r="G271" i="1"/>
  <c r="J270" i="1"/>
  <c r="I270" i="1"/>
  <c r="H270" i="1"/>
  <c r="G270" i="1"/>
  <c r="J269" i="1"/>
  <c r="I269" i="1"/>
  <c r="H269" i="1"/>
  <c r="G269" i="1"/>
  <c r="J268" i="1"/>
  <c r="I268" i="1"/>
  <c r="H268" i="1"/>
  <c r="G268" i="1"/>
  <c r="J267" i="1"/>
  <c r="I267" i="1"/>
  <c r="H267" i="1"/>
  <c r="G267" i="1"/>
  <c r="J266" i="1"/>
  <c r="I266" i="1"/>
  <c r="H266" i="1"/>
  <c r="G266" i="1"/>
  <c r="J265" i="1"/>
  <c r="I265" i="1"/>
  <c r="H265" i="1"/>
  <c r="G265" i="1"/>
  <c r="J264" i="1"/>
  <c r="I264" i="1"/>
  <c r="H264" i="1"/>
  <c r="G264" i="1"/>
  <c r="J263" i="1"/>
  <c r="I263" i="1"/>
  <c r="H263" i="1"/>
  <c r="G263" i="1"/>
  <c r="J262" i="1"/>
  <c r="I262" i="1"/>
  <c r="H262" i="1"/>
  <c r="G262" i="1"/>
  <c r="E303" i="1"/>
  <c r="E301" i="1"/>
  <c r="E288" i="1"/>
  <c r="E287" i="1"/>
  <c r="E286" i="1"/>
  <c r="E285" i="1"/>
  <c r="E284" i="1"/>
  <c r="E283" i="1"/>
  <c r="E282" i="1"/>
  <c r="E281" i="1"/>
  <c r="E280" i="1"/>
  <c r="E279" i="1"/>
  <c r="E268" i="1"/>
  <c r="E267" i="1"/>
  <c r="E266" i="1"/>
  <c r="E265" i="1"/>
  <c r="X216" i="1"/>
  <c r="Y109" i="1"/>
  <c r="X109" i="1"/>
  <c r="J217" i="1"/>
  <c r="E216" i="1"/>
  <c r="E209" i="1"/>
  <c r="E208" i="1"/>
  <c r="E255" i="1"/>
  <c r="E254" i="1"/>
  <c r="E248" i="1"/>
  <c r="E243" i="1"/>
  <c r="E238" i="1"/>
  <c r="E231" i="1"/>
  <c r="E230" i="1"/>
  <c r="E227" i="1"/>
  <c r="E226" i="1"/>
  <c r="E225" i="1"/>
  <c r="E224" i="1"/>
  <c r="E223" i="1"/>
  <c r="E222" i="1"/>
  <c r="E221" i="1"/>
  <c r="E220" i="1"/>
  <c r="E219" i="1"/>
  <c r="E218" i="1"/>
  <c r="E217" i="1"/>
  <c r="E215" i="1"/>
  <c r="E214" i="1"/>
  <c r="E213" i="1"/>
  <c r="E212" i="1"/>
  <c r="E211" i="1"/>
  <c r="E210" i="1"/>
  <c r="E207" i="1"/>
  <c r="E206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J239" i="1"/>
  <c r="I239" i="1"/>
  <c r="H239" i="1"/>
  <c r="G239" i="1"/>
  <c r="J238" i="1"/>
  <c r="I238" i="1"/>
  <c r="H238" i="1"/>
  <c r="G238" i="1"/>
  <c r="J237" i="1"/>
  <c r="I237" i="1"/>
  <c r="H237" i="1"/>
  <c r="G237" i="1"/>
  <c r="J236" i="1"/>
  <c r="I236" i="1"/>
  <c r="H236" i="1"/>
  <c r="G236" i="1"/>
  <c r="J235" i="1"/>
  <c r="I235" i="1"/>
  <c r="H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G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J218" i="1"/>
  <c r="I218" i="1"/>
  <c r="H218" i="1"/>
  <c r="G218" i="1"/>
  <c r="I217" i="1"/>
  <c r="H217" i="1"/>
  <c r="G217" i="1"/>
  <c r="J216" i="1"/>
  <c r="I216" i="1"/>
  <c r="H216" i="1"/>
  <c r="G216" i="1"/>
  <c r="J215" i="1"/>
  <c r="I215" i="1"/>
  <c r="H215" i="1"/>
  <c r="G215" i="1"/>
  <c r="I214" i="1"/>
  <c r="H214" i="1"/>
  <c r="G214" i="1"/>
  <c r="I213" i="1"/>
  <c r="H213" i="1"/>
  <c r="G213" i="1"/>
  <c r="J212" i="1"/>
  <c r="I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J206" i="1"/>
  <c r="I206" i="1"/>
  <c r="H206" i="1"/>
  <c r="G206" i="1"/>
  <c r="Y261" i="1"/>
  <c r="X261" i="1"/>
  <c r="Y260" i="1"/>
  <c r="X260" i="1"/>
  <c r="Y259" i="1"/>
  <c r="X259" i="1"/>
  <c r="Y258" i="1"/>
  <c r="X258" i="1"/>
  <c r="Y257" i="1"/>
  <c r="X257" i="1"/>
  <c r="Y256" i="1"/>
  <c r="X256" i="1"/>
  <c r="Y255" i="1"/>
  <c r="X255" i="1"/>
  <c r="Y254" i="1"/>
  <c r="X254" i="1"/>
  <c r="Y253" i="1"/>
  <c r="X253" i="1"/>
  <c r="Y252" i="1"/>
  <c r="X252" i="1"/>
  <c r="Y251" i="1"/>
  <c r="X251" i="1"/>
  <c r="Y250" i="1"/>
  <c r="X250" i="1"/>
  <c r="Y249" i="1"/>
  <c r="X249" i="1"/>
  <c r="Y248" i="1"/>
  <c r="X248" i="1"/>
  <c r="Y247" i="1"/>
  <c r="X247" i="1"/>
  <c r="Y246" i="1"/>
  <c r="X246" i="1"/>
  <c r="Y245" i="1"/>
  <c r="X245" i="1"/>
  <c r="Y244" i="1"/>
  <c r="X244" i="1"/>
  <c r="Y243" i="1"/>
  <c r="X243" i="1"/>
  <c r="Y242" i="1"/>
  <c r="X242" i="1"/>
  <c r="Y241" i="1"/>
  <c r="X241" i="1"/>
  <c r="Y240" i="1"/>
  <c r="X240" i="1"/>
  <c r="Y239" i="1"/>
  <c r="X239" i="1"/>
  <c r="Y238" i="1"/>
  <c r="X238" i="1"/>
  <c r="Y237" i="1"/>
  <c r="X237" i="1"/>
  <c r="Y233" i="1"/>
  <c r="X233" i="1"/>
  <c r="Y232" i="1"/>
  <c r="X232" i="1"/>
  <c r="Y231" i="1"/>
  <c r="X231" i="1"/>
  <c r="Y230" i="1"/>
  <c r="X230" i="1"/>
  <c r="Y229" i="1"/>
  <c r="X229" i="1"/>
  <c r="Y228" i="1"/>
  <c r="X228" i="1"/>
  <c r="Y227" i="1"/>
  <c r="X227" i="1"/>
  <c r="Y226" i="1"/>
  <c r="X226" i="1"/>
  <c r="Y225" i="1"/>
  <c r="X225" i="1"/>
  <c r="Y224" i="1"/>
  <c r="X224" i="1"/>
  <c r="Y223" i="1"/>
  <c r="X223" i="1"/>
  <c r="Y222" i="1"/>
  <c r="X222" i="1"/>
  <c r="Y221" i="1"/>
  <c r="X221" i="1"/>
  <c r="Y220" i="1"/>
  <c r="X220" i="1"/>
  <c r="Y219" i="1"/>
  <c r="X219" i="1"/>
  <c r="Y218" i="1"/>
  <c r="X218" i="1"/>
  <c r="Y217" i="1"/>
  <c r="X217" i="1"/>
  <c r="Y216" i="1"/>
  <c r="Y215" i="1"/>
  <c r="AA215" i="1" s="1"/>
  <c r="X215" i="1"/>
  <c r="Z215" i="1" s="1"/>
  <c r="Y214" i="1"/>
  <c r="X214" i="1"/>
  <c r="Y213" i="1"/>
  <c r="X213" i="1"/>
  <c r="Y211" i="1"/>
  <c r="X211" i="1"/>
  <c r="Y210" i="1"/>
  <c r="X210" i="1"/>
  <c r="Y209" i="1"/>
  <c r="X209" i="1"/>
  <c r="Y208" i="1"/>
  <c r="X208" i="1"/>
  <c r="Y207" i="1"/>
  <c r="X207" i="1"/>
  <c r="Y206" i="1"/>
  <c r="X206" i="1"/>
  <c r="E141" i="1"/>
  <c r="E140" i="1"/>
  <c r="Y139" i="1"/>
  <c r="X139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0" i="1"/>
  <c r="E119" i="1"/>
  <c r="E118" i="1"/>
  <c r="E68" i="1"/>
  <c r="E42" i="1"/>
  <c r="Y10" i="1" l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7" i="1"/>
  <c r="Y108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40" i="1"/>
  <c r="Y141" i="1"/>
  <c r="Y142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7" i="1"/>
  <c r="X108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40" i="1"/>
  <c r="X141" i="1"/>
  <c r="X142" i="1"/>
  <c r="AA74" i="1" l="1"/>
  <c r="Z74" i="1"/>
  <c r="AA73" i="1"/>
  <c r="Z73" i="1"/>
  <c r="AA72" i="1"/>
  <c r="Z72" i="1"/>
  <c r="AA71" i="1"/>
  <c r="Z71" i="1"/>
  <c r="AA70" i="1"/>
  <c r="Z70" i="1"/>
  <c r="AA69" i="1"/>
  <c r="Z69" i="1"/>
  <c r="AA68" i="1"/>
  <c r="Z68" i="1"/>
  <c r="E142" i="1"/>
  <c r="E122" i="1"/>
  <c r="E121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I15" i="1"/>
  <c r="J14" i="1"/>
  <c r="I14" i="1"/>
  <c r="H14" i="1"/>
  <c r="G14" i="1"/>
  <c r="J12" i="1"/>
  <c r="I12" i="1"/>
  <c r="H12" i="1"/>
  <c r="G12" i="1"/>
  <c r="J11" i="1"/>
  <c r="I11" i="1"/>
  <c r="H11" i="1"/>
  <c r="G11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2" i="1"/>
  <c r="E3" i="1" l="1"/>
  <c r="E4" i="1"/>
  <c r="E5" i="1"/>
  <c r="E6" i="1"/>
  <c r="E7" i="1"/>
  <c r="Y3" i="1"/>
  <c r="Y4" i="1"/>
  <c r="Y5" i="1"/>
  <c r="Y6" i="1"/>
  <c r="Y7" i="1"/>
  <c r="Y8" i="1"/>
  <c r="AA8" i="1" s="1"/>
  <c r="Y9" i="1"/>
  <c r="AA9" i="1" s="1"/>
  <c r="Y2" i="1"/>
  <c r="X3" i="1"/>
  <c r="X4" i="1"/>
  <c r="X5" i="1"/>
  <c r="X6" i="1"/>
  <c r="X7" i="1"/>
  <c r="X8" i="1"/>
  <c r="Z8" i="1" s="1"/>
  <c r="X9" i="1"/>
  <c r="Z9" i="1" s="1"/>
  <c r="X10" i="1"/>
  <c r="X2" i="1"/>
  <c r="G3" i="1" l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E8" i="1"/>
  <c r="E9" i="1"/>
  <c r="E10" i="1"/>
  <c r="H2" i="1" l="1"/>
  <c r="J2" i="1"/>
  <c r="I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Halıde PALAVAR</author>
  </authors>
  <commentList>
    <comment ref="X1" authorId="0" shapeId="0" xr:uid="{A0CA4C7B-9C46-46EF-948B-CEEDC11149F5}">
      <text>
        <r>
          <rPr>
            <b/>
            <sz val="9"/>
            <color indexed="81"/>
            <rFont val="Tahoma"/>
            <family val="2"/>
            <charset val="162"/>
          </rPr>
          <t>Halıde PALAVAR: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<sst xmlns="http://schemas.openxmlformats.org/spreadsheetml/2006/main" count="11253" uniqueCount="1147">
  <si>
    <t>Geliş Kanalı</t>
  </si>
  <si>
    <t>Şirket</t>
  </si>
  <si>
    <t>Lokasyon</t>
  </si>
  <si>
    <t>Ünvan</t>
  </si>
  <si>
    <t>Yapılacak İş Sonucu</t>
  </si>
  <si>
    <t>Kalite Yetkilisi</t>
  </si>
  <si>
    <t>Kalite Değerlendirmesi</t>
  </si>
  <si>
    <t>Mail İletildi Mi?</t>
  </si>
  <si>
    <t>EPDK</t>
  </si>
  <si>
    <t>CİMER</t>
  </si>
  <si>
    <t>ŞİRKET İÇ BİRİM</t>
  </si>
  <si>
    <t>ÇAĞRI MERKEZİ</t>
  </si>
  <si>
    <t>AEDAŞ</t>
  </si>
  <si>
    <t>AEPSAŞ</t>
  </si>
  <si>
    <t>BEDAŞ</t>
  </si>
  <si>
    <t>BEPSAŞ</t>
  </si>
  <si>
    <t>ÇEDAŞ</t>
  </si>
  <si>
    <t>ÇEPSAŞ</t>
  </si>
  <si>
    <t>KARS</t>
  </si>
  <si>
    <t>ERZURUM</t>
  </si>
  <si>
    <t>ANKARA</t>
  </si>
  <si>
    <t>HATALI MÜHİM/MOD/ÇAĞRI MERKEZİ VB. YÖNLENDİRME</t>
  </si>
  <si>
    <t>YETKİLİYE AKTARMAMA</t>
  </si>
  <si>
    <t>ŞİKAYET/TEŞEKKÜR KAYDI OLUŞTURMAMA</t>
  </si>
  <si>
    <t>HATALI ABONELİK ÜZERİNDEN İŞLEM YAPILMASI</t>
  </si>
  <si>
    <t>HATALI KATEGORİ ÜZERİNDEN KAYIT ALMA</t>
  </si>
  <si>
    <t>LOG KAYDININ OLMAMASI</t>
  </si>
  <si>
    <t>3. ŞAHIS İLE BİLGİ PAYLAŞILMASI</t>
  </si>
  <si>
    <t>HATALI / EKSİK BORÇ BİLGİLENDİRMESİ</t>
  </si>
  <si>
    <t>HATALI / EKSİK ABONELİK BİLGİLENDİRMESİ</t>
  </si>
  <si>
    <t>HATALI / EKSİK İKİLİ ANLAŞMA SÜREÇLERİ BİLGİLENDİRMESİ</t>
  </si>
  <si>
    <t>HATALI / EKSİK UK SÜRECİ UYGULANMASI</t>
  </si>
  <si>
    <t>HATALI / EKSİK SKTT SÜRECİ BİLGİLENDİRMESİ</t>
  </si>
  <si>
    <t>HATALI / EKSİK DİJİTAL FATURA SÜRECİ UYGULANMASI</t>
  </si>
  <si>
    <t>HATALI / EKSİK İYS SÜRECİ UYGULANMASI</t>
  </si>
  <si>
    <t>HATALI / EKSİK GÜVENCE BEDELİ BİLGİLENDİRMESİ</t>
  </si>
  <si>
    <t>HATALI / EKSİK KAÇAK SÜREÇLERİ BİLGİLENDİRMESİ</t>
  </si>
  <si>
    <t>HATALI / EKSİK AYDINLATMA BİLGİLENDİRMESİ</t>
  </si>
  <si>
    <t>HATALI / EKSİK SAYAÇ SÜREÇLERİ BİLGİLENDİRMESİ</t>
  </si>
  <si>
    <t>HATALI / EKSİK AÇMA KESME SÜREÇLERİ BİLGİLENDİRMESİ</t>
  </si>
  <si>
    <t>HATALI / EKSİK KESİNTİ SÜREÇLERİ BİLGİLENDİRMESİ</t>
  </si>
  <si>
    <t>DAVRANIŞ</t>
  </si>
  <si>
    <t>TAVIR, TARZ YAPMAK, SES YÜKSELTMEK VB.</t>
  </si>
  <si>
    <t>STANDARDA UYGUN OLMAYAN ÇAĞRI SONLANDIRMA</t>
  </si>
  <si>
    <t>MÜŞTERİNİN YÜZÜNE TELEFON KAPATMA</t>
  </si>
  <si>
    <t>GÜLMEK, ESNEMEK, BESLENMEK VB. UYGUN OLMAYAN DAVRANIŞ</t>
  </si>
  <si>
    <t>MÜŞTERİYE HİZMET VERMEDEN (5,10,30 SN VB.) ÇAĞRIYI KAPATMAK</t>
  </si>
  <si>
    <t>TEŞEKKÜR</t>
  </si>
  <si>
    <t>Unvan</t>
  </si>
  <si>
    <t>ARIZA</t>
  </si>
  <si>
    <t>AYDINLATMA</t>
  </si>
  <si>
    <t>BAĞLANTI ŞEBEKE</t>
  </si>
  <si>
    <t>BİLGİ EDİNME</t>
  </si>
  <si>
    <t>İŞLETME TALEPLERİ</t>
  </si>
  <si>
    <t>KAÇAK</t>
  </si>
  <si>
    <t>KAMULAŞTIRMA</t>
  </si>
  <si>
    <t>MÜŞTERİ FEN</t>
  </si>
  <si>
    <t>MÜŞTERİ HİZMETLERİ</t>
  </si>
  <si>
    <t>OSOS İŞLEMLERİ</t>
  </si>
  <si>
    <t>SAYAÇ İŞLEMLERİ</t>
  </si>
  <si>
    <t>TAHAKKUK</t>
  </si>
  <si>
    <t>TAZMİNATLAR</t>
  </si>
  <si>
    <t>TEKNİK KALİTE</t>
  </si>
  <si>
    <t>BORÇ ÖDEME İŞLEMLERİ</t>
  </si>
  <si>
    <t>GENEL TALEPLER</t>
  </si>
  <si>
    <t>MÜŞTERİ İŞLEMLERİ</t>
  </si>
  <si>
    <t>FATURA İŞLEMLERİ</t>
  </si>
  <si>
    <t>YASAL TAKİP BAŞVURULARI</t>
  </si>
  <si>
    <t>KAMPANYALAR</t>
  </si>
  <si>
    <t>BİLGİ VERİLDİ</t>
  </si>
  <si>
    <t>AÇMA KESME</t>
  </si>
  <si>
    <t>FATURALAMA ŞİKAYETLERİ</t>
  </si>
  <si>
    <t>SKTT</t>
  </si>
  <si>
    <t>CK SATIŞ</t>
  </si>
  <si>
    <t>Çağrı Konusu</t>
  </si>
  <si>
    <t>GEÇERSİZ TEŞEKKÜR</t>
  </si>
  <si>
    <t>ÖZÜR</t>
  </si>
  <si>
    <t>ÇAĞRI MERKEZİNE TEŞEKKÜR</t>
  </si>
  <si>
    <t>SÖZLÜ UYARI YARILDI</t>
  </si>
  <si>
    <t>YAZILI UYARI YAPILDI</t>
  </si>
  <si>
    <t>GEÇERLİ TEŞEKKÜR</t>
  </si>
  <si>
    <t>GEÇERSİZ ŞİKAYET</t>
  </si>
  <si>
    <t>HABIBE KARABIYIK</t>
  </si>
  <si>
    <t>FATİH BAŞTUĞ</t>
  </si>
  <si>
    <t>MÜNEVVER YILMAZ</t>
  </si>
  <si>
    <t>SEYMANUR CEVIK</t>
  </si>
  <si>
    <t>HALİDE PALAVAR</t>
  </si>
  <si>
    <t>ÖZLEM BAŞÇAVUŞOĞULLARI</t>
  </si>
  <si>
    <t>RUKİYE DEMİRKALE</t>
  </si>
  <si>
    <t>FATİH KARADENİZ</t>
  </si>
  <si>
    <t>YALIN BASBUG</t>
  </si>
  <si>
    <t>KADER ERGUN</t>
  </si>
  <si>
    <t>YAPILDI</t>
  </si>
  <si>
    <t>YAPILMADI</t>
  </si>
  <si>
    <t>EVET</t>
  </si>
  <si>
    <t>HAYIR</t>
  </si>
  <si>
    <t>ÜRÜN</t>
  </si>
  <si>
    <t>SÜREÇ</t>
  </si>
  <si>
    <t>ŞİRKET</t>
  </si>
  <si>
    <t>TAKIM LİDERİ</t>
  </si>
  <si>
    <t>M.TEMSİLCİSİ</t>
  </si>
  <si>
    <t>UZM.M.TEMSİLCİSİ</t>
  </si>
  <si>
    <t>SKILL</t>
  </si>
  <si>
    <t>DAĞITIM</t>
  </si>
  <si>
    <t>PERAKENDE</t>
  </si>
  <si>
    <t>MÜSTERİ TEMSİLCİSİ</t>
  </si>
  <si>
    <t>AYSU ARSLAN</t>
  </si>
  <si>
    <t>DOGANCAN CINTESUN</t>
  </si>
  <si>
    <t>SENEM ERTAS</t>
  </si>
  <si>
    <t>SEVAL TOSUN</t>
  </si>
  <si>
    <t>BUSRANUR GULEN</t>
  </si>
  <si>
    <t>GULHAN GENCLER</t>
  </si>
  <si>
    <t>GURKAN YAGCI</t>
  </si>
  <si>
    <t>DAMLA KAYGISIZ</t>
  </si>
  <si>
    <t>TANSU CAM</t>
  </si>
  <si>
    <t>RABIA KAYA</t>
  </si>
  <si>
    <t>GUL ZEHRA KIZGIN</t>
  </si>
  <si>
    <t>BERIN SAYILAM</t>
  </si>
  <si>
    <t>DENIZ GORMEZ</t>
  </si>
  <si>
    <t>EROL ZAN</t>
  </si>
  <si>
    <t>MUNRE KAVRAT</t>
  </si>
  <si>
    <t>FATMA MALKOC</t>
  </si>
  <si>
    <t>BATURALP AKSAHIN</t>
  </si>
  <si>
    <t>GUNES YILMAZ</t>
  </si>
  <si>
    <t>CEYHAN AYRIC</t>
  </si>
  <si>
    <t>UNAL YUSUMUT</t>
  </si>
  <si>
    <t>DIDEM CILKASIT</t>
  </si>
  <si>
    <t>EMRE CAN SUMER</t>
  </si>
  <si>
    <t>YETER DEMIRCI</t>
  </si>
  <si>
    <t>SEVIM TOK</t>
  </si>
  <si>
    <t>YALCIN KOYUNCU</t>
  </si>
  <si>
    <t>GULLU AKBULAK</t>
  </si>
  <si>
    <t>RESAT BULUCUM</t>
  </si>
  <si>
    <t>HACER CALIS</t>
  </si>
  <si>
    <t>DIDEM AZIRKAN</t>
  </si>
  <si>
    <t>HAKAN COBAN</t>
  </si>
  <si>
    <t>DERYA IGREK</t>
  </si>
  <si>
    <t>MAZLUM SERVAN DOGANAY</t>
  </si>
  <si>
    <t>PINAR YOKUS</t>
  </si>
  <si>
    <t>YUNUS EMRE TEK</t>
  </si>
  <si>
    <t>BIRSEN ZATSAN</t>
  </si>
  <si>
    <t>ORUC CAN CIFTCI</t>
  </si>
  <si>
    <t>DILAN ORNEK</t>
  </si>
  <si>
    <t>ALI TURKOGLU</t>
  </si>
  <si>
    <t>SIBEL KOCAK</t>
  </si>
  <si>
    <t>MEHMET EKREM YALCIN</t>
  </si>
  <si>
    <t>BILGE INCE</t>
  </si>
  <si>
    <t>YASEMIN DALBOY</t>
  </si>
  <si>
    <t>BAHAR BARIS</t>
  </si>
  <si>
    <t>KADIR DALMIS</t>
  </si>
  <si>
    <t>YAZGUL CELIK</t>
  </si>
  <si>
    <t>YAKUP CAGLAYAN</t>
  </si>
  <si>
    <t>BEYTULLAH KURALAY</t>
  </si>
  <si>
    <t>CAGLA OZKAYA</t>
  </si>
  <si>
    <t>SEVDA KUBRA YAGDIRAN</t>
  </si>
  <si>
    <t>BERIVAN KAYA</t>
  </si>
  <si>
    <t>RUKIYE SAVCI</t>
  </si>
  <si>
    <t>KADIR CAKAS</t>
  </si>
  <si>
    <t>ZEHRA NUR YAGDIRAN</t>
  </si>
  <si>
    <t>YILDIZ BILEN</t>
  </si>
  <si>
    <t>BERIL CAN PADIR</t>
  </si>
  <si>
    <t>DIYAR SUR</t>
  </si>
  <si>
    <t>ERCUMENT GUNESSU</t>
  </si>
  <si>
    <t>EZGI TURAN</t>
  </si>
  <si>
    <t>SONGUL DEMIRBAS</t>
  </si>
  <si>
    <t>OZLEM BIRDAL</t>
  </si>
  <si>
    <t>BUSE EKINCI</t>
  </si>
  <si>
    <t>TURKAN ATAK</t>
  </si>
  <si>
    <t>SULTAN KAYA</t>
  </si>
  <si>
    <t>TUGBA DEMIR</t>
  </si>
  <si>
    <t>HATICE AYAG</t>
  </si>
  <si>
    <t>FATMA SAGLAM</t>
  </si>
  <si>
    <t>BUSE DASDEMIR</t>
  </si>
  <si>
    <t>ILAYDA ATILLA</t>
  </si>
  <si>
    <t>PINAR SIMSEK</t>
  </si>
  <si>
    <t>ROJDA BAHAR AKKAYA</t>
  </si>
  <si>
    <t>MUSLUM GURKAN GENCLER</t>
  </si>
  <si>
    <t>MIHRIBAN BOGERLER</t>
  </si>
  <si>
    <t>EBRU CANDAN</t>
  </si>
  <si>
    <t>FERHAT NUR</t>
  </si>
  <si>
    <t>YUSUF ALI TEPE</t>
  </si>
  <si>
    <t>KURTHAN FERDI CIHANTIMUR</t>
  </si>
  <si>
    <t>OZLEM UGUR</t>
  </si>
  <si>
    <t>RABIA AYAG</t>
  </si>
  <si>
    <t>AYSEGUL TEMEL</t>
  </si>
  <si>
    <t>HUSEYIN AKBULUT</t>
  </si>
  <si>
    <t>BELGIN OMUR</t>
  </si>
  <si>
    <t>NERMIN ELMAS</t>
  </si>
  <si>
    <t>BERKAN COSKUNOZ</t>
  </si>
  <si>
    <t>YUSUF OGUL</t>
  </si>
  <si>
    <t>ERGUL GUMUS</t>
  </si>
  <si>
    <t>MELISA COSKUNOZ</t>
  </si>
  <si>
    <t>BERAT SARIDAG</t>
  </si>
  <si>
    <t>BUSRA SIMSEK</t>
  </si>
  <si>
    <t>ESRA SIMSEK</t>
  </si>
  <si>
    <t>RESUL BULUT</t>
  </si>
  <si>
    <t>SILA SAMHAL</t>
  </si>
  <si>
    <t>MUHAMMET AKSU</t>
  </si>
  <si>
    <t>SERCAN KORAY DEMIRAL</t>
  </si>
  <si>
    <t>TUTKU ADMIS</t>
  </si>
  <si>
    <t>ASLIGUL OMURCA</t>
  </si>
  <si>
    <t>NUR ALEYNA BEKISDAMAT</t>
  </si>
  <si>
    <t>HAVVA AYDIN</t>
  </si>
  <si>
    <t>NURHAK DOGUKAN KARAMAN</t>
  </si>
  <si>
    <t>MELISA YIGIT</t>
  </si>
  <si>
    <t>MUKERREM ACAT</t>
  </si>
  <si>
    <t>SELMA KAYA</t>
  </si>
  <si>
    <t>ASYA ATMACA</t>
  </si>
  <si>
    <t>GOZDE KAYA</t>
  </si>
  <si>
    <t>ROJIN ORAL</t>
  </si>
  <si>
    <t>BERAT YUCESOY</t>
  </si>
  <si>
    <t>UMMUGULSUM BEKI</t>
  </si>
  <si>
    <t>YASEMIN ERDAGI</t>
  </si>
  <si>
    <t>ESRA ATMACA</t>
  </si>
  <si>
    <t>UMITCAN KILICOGLU</t>
  </si>
  <si>
    <t>MUSTAFA OZAYAG</t>
  </si>
  <si>
    <t>FURKAN KARADAG</t>
  </si>
  <si>
    <t>ONUR POLAT</t>
  </si>
  <si>
    <t>SERDAR SENGUN</t>
  </si>
  <si>
    <t>CEREN SIMSEK</t>
  </si>
  <si>
    <t>MEHTAP KIRTAY</t>
  </si>
  <si>
    <t>SERCAN AKBUGA</t>
  </si>
  <si>
    <t>PELIN SU ERDAGI</t>
  </si>
  <si>
    <t>BURAK HALI</t>
  </si>
  <si>
    <t>BERIVAN BAYRAMBEY</t>
  </si>
  <si>
    <t>AYSUN PARALTI</t>
  </si>
  <si>
    <t>SEVINC TOK</t>
  </si>
  <si>
    <t>CIGDEM CEVATOGLU</t>
  </si>
  <si>
    <t>RABIA TEMUR</t>
  </si>
  <si>
    <t>VAHIDE BULBUL</t>
  </si>
  <si>
    <t>ISKENDER CAN EYAN</t>
  </si>
  <si>
    <t>SERKAN CURKA</t>
  </si>
  <si>
    <t>ZEYNEL ARIF BOGATU</t>
  </si>
  <si>
    <t>HASAN FERHAT ARAZ</t>
  </si>
  <si>
    <t>SAFAK TOPTAS</t>
  </si>
  <si>
    <t>FATMA SENA SEFEROGLU</t>
  </si>
  <si>
    <t>HASAN FURKAN ASLAN</t>
  </si>
  <si>
    <t>BUKET CANSU BEKTEMUR</t>
  </si>
  <si>
    <t>NAIM UREYIL</t>
  </si>
  <si>
    <t>KEREM MECO</t>
  </si>
  <si>
    <t>SAMET TEKIN</t>
  </si>
  <si>
    <t>YUSUF ERBOGA</t>
  </si>
  <si>
    <t>CANSEL DURSUN</t>
  </si>
  <si>
    <t>OZLEM AGYOL</t>
  </si>
  <si>
    <t>VOLKAN MECO</t>
  </si>
  <si>
    <t>ZAFER BULAK</t>
  </si>
  <si>
    <t>NAIF ADA</t>
  </si>
  <si>
    <t>SIMGE KANBAY</t>
  </si>
  <si>
    <t>BILSEMSAM ADIGUZELLI</t>
  </si>
  <si>
    <t>MAHIZER BUKET AKBABA</t>
  </si>
  <si>
    <t>MUSTAFA NECIP BOZ</t>
  </si>
  <si>
    <t>SEDA SEBU</t>
  </si>
  <si>
    <t>EYUPHAN ATAS</t>
  </si>
  <si>
    <t>CEVAHIR POLAT</t>
  </si>
  <si>
    <t>UGURCAN ALTUNTERIM</t>
  </si>
  <si>
    <t>OZNUR KIRTAY</t>
  </si>
  <si>
    <t>EBRU EKINCI</t>
  </si>
  <si>
    <t>MURAT BETOS</t>
  </si>
  <si>
    <t>BERKAN GONEY</t>
  </si>
  <si>
    <t>BURCU BOZKURT</t>
  </si>
  <si>
    <t>BILGE KOYUNCU</t>
  </si>
  <si>
    <t>SONGUL YAGCI</t>
  </si>
  <si>
    <t>GULSEVINC ATILLA YILDIZ</t>
  </si>
  <si>
    <t>HAZAL BULUT</t>
  </si>
  <si>
    <t>HAMZA ADIGUZELLI</t>
  </si>
  <si>
    <t>BUNYAMIN ERDEM</t>
  </si>
  <si>
    <t>FURKAN KAYA</t>
  </si>
  <si>
    <t>SEVCAN BULUT</t>
  </si>
  <si>
    <t>SARUHAN DOGUKAN TAS</t>
  </si>
  <si>
    <t>ABDULLAH UMIT OZTURK</t>
  </si>
  <si>
    <t>ALI MURAT AKBULAK</t>
  </si>
  <si>
    <t>PINAR YOLCU</t>
  </si>
  <si>
    <t>DIDEM YOL</t>
  </si>
  <si>
    <t>SEVDA BULUT</t>
  </si>
  <si>
    <t>AYSE YILDIZ</t>
  </si>
  <si>
    <t>IRFAN YILDIZ</t>
  </si>
  <si>
    <t>UMUT YILDIRIM</t>
  </si>
  <si>
    <t>EMRAH OZER</t>
  </si>
  <si>
    <t>AHMET GUNES</t>
  </si>
  <si>
    <t>BERHAN ALP</t>
  </si>
  <si>
    <t>DIDEM KENCU</t>
  </si>
  <si>
    <t>FEVZI KOCU</t>
  </si>
  <si>
    <t>HIRANUR KALKAN</t>
  </si>
  <si>
    <t>BERKAN ILI</t>
  </si>
  <si>
    <t>RAHMAN ALI KINA</t>
  </si>
  <si>
    <t>YAPRAK KARAKOC</t>
  </si>
  <si>
    <t>BERAT KILICARSLAN</t>
  </si>
  <si>
    <t>GURKAN KILDIS</t>
  </si>
  <si>
    <t>EMRE ERTAN</t>
  </si>
  <si>
    <t>FUNDA YAKISIR</t>
  </si>
  <si>
    <t>HANDE KOC</t>
  </si>
  <si>
    <t>MUHAMMED CAN SEFERTAS</t>
  </si>
  <si>
    <t>SELCAN BULUT</t>
  </si>
  <si>
    <t>FIRDEVS SAMCI</t>
  </si>
  <si>
    <t>ERDAL OZAYAG</t>
  </si>
  <si>
    <t>BURAK TIKICIERI</t>
  </si>
  <si>
    <t>ASENA BANU SONKURT</t>
  </si>
  <si>
    <t>NAZLICAN ADIGUZELLI</t>
  </si>
  <si>
    <t>TOLGA SELIMOGLU</t>
  </si>
  <si>
    <t>SIBEL TAMCINAR</t>
  </si>
  <si>
    <t>TULIN ANCI</t>
  </si>
  <si>
    <t>TUGBA ALTUNOK</t>
  </si>
  <si>
    <t>YAREN OZAYAG</t>
  </si>
  <si>
    <t>HABIBE KESKIN</t>
  </si>
  <si>
    <t>BERK KAAN TUNA</t>
  </si>
  <si>
    <t>CANSU KARAKOC</t>
  </si>
  <si>
    <t>BASAK INALPOLAT</t>
  </si>
  <si>
    <t>BIRAN ZAKKUM IVAK</t>
  </si>
  <si>
    <t>CANSU GENCLER</t>
  </si>
  <si>
    <t>GULCIN AKAT</t>
  </si>
  <si>
    <t>DERYA SEVIM CANAN KOYUNCU</t>
  </si>
  <si>
    <t>MUHAMMED EREN KAYA</t>
  </si>
  <si>
    <t>FATMA MERT</t>
  </si>
  <si>
    <t>GIZEM CELIK</t>
  </si>
  <si>
    <t>CIHAN CAN ARAR</t>
  </si>
  <si>
    <t>BUSRA YILDIRIM</t>
  </si>
  <si>
    <t>KEZBAN DEMIR</t>
  </si>
  <si>
    <t>TURCAN TANRIVERDILER</t>
  </si>
  <si>
    <t>TAYLAN OZGUR DURMUS</t>
  </si>
  <si>
    <t>BARAN KOYUNCU</t>
  </si>
  <si>
    <t>DILAN AKIN</t>
  </si>
  <si>
    <t>NAZLICAN CALKA</t>
  </si>
  <si>
    <t>NESLIHAN OZKAN</t>
  </si>
  <si>
    <t>TURGUT AKDAG</t>
  </si>
  <si>
    <t>ONURCAN SENTURK</t>
  </si>
  <si>
    <t>YUSUF ISLAM BOZKURT</t>
  </si>
  <si>
    <t>ALEYNA KARACA</t>
  </si>
  <si>
    <t>AZIZE KOYUNCUOGLU</t>
  </si>
  <si>
    <t>DOGAN KOCAK</t>
  </si>
  <si>
    <t>FEYZANUR KARAGOZ</t>
  </si>
  <si>
    <t>ILHAM YILMAZ</t>
  </si>
  <si>
    <t>KUBRA KUCUKOGLU</t>
  </si>
  <si>
    <t>MERVE URUK</t>
  </si>
  <si>
    <t>OMER FARUK ERDEM</t>
  </si>
  <si>
    <t>OZGEN ERTEK</t>
  </si>
  <si>
    <t>SINEM TANHUS</t>
  </si>
  <si>
    <t>SERIFE ALPER</t>
  </si>
  <si>
    <t>SEYDANUR KARADABAG EFE</t>
  </si>
  <si>
    <t>SEYDANUR UCGUL</t>
  </si>
  <si>
    <t>YURDAGUL DASTAN</t>
  </si>
  <si>
    <t>ELIFNUR KAYAALP</t>
  </si>
  <si>
    <t>MAHMUT KOTAN</t>
  </si>
  <si>
    <t>MELISA AKYILDIRIM</t>
  </si>
  <si>
    <t>MERYEM KACMAZ</t>
  </si>
  <si>
    <t>MEVLA DERYA SIMSEK</t>
  </si>
  <si>
    <t>MUHAMMED ULAS TOREMEN</t>
  </si>
  <si>
    <t>SERKAN ARICI</t>
  </si>
  <si>
    <t>SIBEL ATES</t>
  </si>
  <si>
    <t>SONGUL BEKCI</t>
  </si>
  <si>
    <t>SEYDA KARAGOL</t>
  </si>
  <si>
    <t>SEYDANUR CAKALOGLU</t>
  </si>
  <si>
    <t>SEYMANUR AGSAKALLI</t>
  </si>
  <si>
    <t>ASLIHAN DEMIRCI</t>
  </si>
  <si>
    <t>AYDANUR TANAS</t>
  </si>
  <si>
    <t>BAHTINUR LAFCI</t>
  </si>
  <si>
    <t>BELMA ONAL</t>
  </si>
  <si>
    <t>BUSRA ISIK</t>
  </si>
  <si>
    <t>CAGLAR KURSAT YILMAZ</t>
  </si>
  <si>
    <t>DUYGU SAKAR</t>
  </si>
  <si>
    <t>ELIF BOGATEKIN</t>
  </si>
  <si>
    <t>EMINE ABI</t>
  </si>
  <si>
    <t>EMIRHAN TANAS</t>
  </si>
  <si>
    <t>ESRA YILMAZ</t>
  </si>
  <si>
    <t>FATMA NUR EZGIN</t>
  </si>
  <si>
    <t>KADIR ATES</t>
  </si>
  <si>
    <t>MEHTAP SONMEZ</t>
  </si>
  <si>
    <t>MELIKE SEZGIN</t>
  </si>
  <si>
    <t>MERVE NUR KOTAN</t>
  </si>
  <si>
    <t>MERYEM ATALAY</t>
  </si>
  <si>
    <t>MUHAMMED CAN POLAT</t>
  </si>
  <si>
    <t>MUHAMMED CAGRI KARADAS</t>
  </si>
  <si>
    <t>MUHAMMET MESUT KOK</t>
  </si>
  <si>
    <t>NEVA OZMEN</t>
  </si>
  <si>
    <t>CAGLA BUSE KUCUKOZDEMIR</t>
  </si>
  <si>
    <t>ELIF DEMIRBAGA</t>
  </si>
  <si>
    <t>CANER CAMCI</t>
  </si>
  <si>
    <t>EDANUR KATI</t>
  </si>
  <si>
    <t>ELANUR DUMLU</t>
  </si>
  <si>
    <t>ERTUGRUL KONAG</t>
  </si>
  <si>
    <t>GOZDENUR YILMAZ</t>
  </si>
  <si>
    <t>HILAL SEYRET</t>
  </si>
  <si>
    <t>ESRA TOPAL</t>
  </si>
  <si>
    <t>FATMA DELIOGLU</t>
  </si>
  <si>
    <t>FATMA NUR TASBASI</t>
  </si>
  <si>
    <t>FERHAT ATICI</t>
  </si>
  <si>
    <t>ILAYDA YILMAZ</t>
  </si>
  <si>
    <t>MELEK SOLAK</t>
  </si>
  <si>
    <t>MUHAMMET ENES AKTAS</t>
  </si>
  <si>
    <t>MURAT YILDIZ</t>
  </si>
  <si>
    <t>SAMET KOCABEYOGLU</t>
  </si>
  <si>
    <t>YASIN CAKAR</t>
  </si>
  <si>
    <t>METEHAN EMRE SIRMALI</t>
  </si>
  <si>
    <t>SALTUK BUGRAHAN TAYMUS</t>
  </si>
  <si>
    <t>FURKAN METEROGLU</t>
  </si>
  <si>
    <t>GAMZE ASLAN</t>
  </si>
  <si>
    <t>AYSEL ERDEMIR</t>
  </si>
  <si>
    <t>ALEYNA UGRAS</t>
  </si>
  <si>
    <t>CANAN KUCUKBATMAN</t>
  </si>
  <si>
    <t>CILEM ADIBELLI</t>
  </si>
  <si>
    <t>CIYDEM KORKMAZ</t>
  </si>
  <si>
    <t>DEMET UST</t>
  </si>
  <si>
    <t>DURDANE DURAK</t>
  </si>
  <si>
    <t>EMRE GUNES</t>
  </si>
  <si>
    <t>HATICE TASCI</t>
  </si>
  <si>
    <t>HATICE KAHVECIOGLU</t>
  </si>
  <si>
    <t>ILAYDA CAYIRLI</t>
  </si>
  <si>
    <t>MELISA CANVAR</t>
  </si>
  <si>
    <t>MERVENUR CELIK</t>
  </si>
  <si>
    <t>MISLINA HATUN TURKOGLU</t>
  </si>
  <si>
    <t>MUHAMMET EMIN AKSAKAL</t>
  </si>
  <si>
    <t>OMER BAYRAM</t>
  </si>
  <si>
    <t>RUMEYSA TOZLU</t>
  </si>
  <si>
    <t>SENA DEMIR</t>
  </si>
  <si>
    <t>SUKRUYE OZMEN</t>
  </si>
  <si>
    <t>UMUT CAN GOVEZ</t>
  </si>
  <si>
    <t>ZEYNEP KAYA</t>
  </si>
  <si>
    <t>MUHAMMED EMIN DEMIR</t>
  </si>
  <si>
    <t>BATUHAN GULER</t>
  </si>
  <si>
    <t>MIRAY ELA KATI</t>
  </si>
  <si>
    <t>ESRA KIZIL</t>
  </si>
  <si>
    <t>ESRA KURAL</t>
  </si>
  <si>
    <t>HUMEYYA ILAYDA ORS</t>
  </si>
  <si>
    <t>IREM NAZ OGUZ</t>
  </si>
  <si>
    <t>RABIA DURAN</t>
  </si>
  <si>
    <t>ULVIYE ALPER</t>
  </si>
  <si>
    <t>AHMET SEFA BASBUGA</t>
  </si>
  <si>
    <t>ELIF DUMLU</t>
  </si>
  <si>
    <t>BURCU AYDIN</t>
  </si>
  <si>
    <t>DUYGU DEMIRCI</t>
  </si>
  <si>
    <t>FERRAH DELAL DEMIR</t>
  </si>
  <si>
    <t>BEYZA YAREN TUNCAY</t>
  </si>
  <si>
    <t>SEDANUR ARSLAN</t>
  </si>
  <si>
    <t>ESRA CEYLAN</t>
  </si>
  <si>
    <t>MUHAMMED YASAR DUMLU</t>
  </si>
  <si>
    <t>DILANUR KOMUR</t>
  </si>
  <si>
    <t>ZEYNEP DOGAN</t>
  </si>
  <si>
    <t>ZIHNI AKPINAR</t>
  </si>
  <si>
    <t>AYSE KOKSAL</t>
  </si>
  <si>
    <t>EYLUL YILDIRIM</t>
  </si>
  <si>
    <t>SEVIL IREM DURUK</t>
  </si>
  <si>
    <t>YAGMUR ATMACA</t>
  </si>
  <si>
    <t>YAGMUR YILMAZ</t>
  </si>
  <si>
    <t>FATMA BEYZA AKKAN</t>
  </si>
  <si>
    <t>MUHAMMET DOGDU</t>
  </si>
  <si>
    <t>NILUFER HAZAN CIFCI</t>
  </si>
  <si>
    <t>SEYMANUR GORMEZ</t>
  </si>
  <si>
    <t>DILAN CANLIOGLU</t>
  </si>
  <si>
    <t>SELIM FIRAT TUNCER</t>
  </si>
  <si>
    <t>ZEYNEP SUDE ERBIL</t>
  </si>
  <si>
    <t>CANAN OZDEN</t>
  </si>
  <si>
    <t>RUVEYDA OZDEMIR</t>
  </si>
  <si>
    <t>EMIRHAN KAHRAMAN</t>
  </si>
  <si>
    <t>EZO POLAT</t>
  </si>
  <si>
    <t>MELIHA GONULALAN</t>
  </si>
  <si>
    <t>FEYZANUR DOGANGUZEL</t>
  </si>
  <si>
    <t>IREM NAZ TUZUN</t>
  </si>
  <si>
    <t>KADRIYE NUR TASDELEN</t>
  </si>
  <si>
    <t>SEDA NUR KARASOY</t>
  </si>
  <si>
    <t>ASYA DAG</t>
  </si>
  <si>
    <t>TUGBA GONEN</t>
  </si>
  <si>
    <t>AHMET TALHA ERDEM</t>
  </si>
  <si>
    <t>RABIA BACAK</t>
  </si>
  <si>
    <t>AYSE DURAN</t>
  </si>
  <si>
    <t>MELIKE ULUSU</t>
  </si>
  <si>
    <t>EMRE DEMIRKAYIK</t>
  </si>
  <si>
    <t>MELEK SUDE YANAR</t>
  </si>
  <si>
    <t>BUSRA AYDOGDU</t>
  </si>
  <si>
    <t>KEREM ESKIYURT</t>
  </si>
  <si>
    <t>MELIKE IPEK</t>
  </si>
  <si>
    <t>NIHAL BACAK</t>
  </si>
  <si>
    <t>BERK VAROGLU</t>
  </si>
  <si>
    <t>BUSRA OLCULMUS</t>
  </si>
  <si>
    <t>ENES ULUSU</t>
  </si>
  <si>
    <t>BUSRA COCU</t>
  </si>
  <si>
    <t>ESRA SONMEZ</t>
  </si>
  <si>
    <t>KEZBAN TILER</t>
  </si>
  <si>
    <t>UMMUHAN SINEM BULUT</t>
  </si>
  <si>
    <t>ZEYNEP TEKELI</t>
  </si>
  <si>
    <t>SUDENUR ALTUN</t>
  </si>
  <si>
    <t>ACELYA EKINCI</t>
  </si>
  <si>
    <t>MELIKE TOPSOY</t>
  </si>
  <si>
    <t>EDA ARSLAN</t>
  </si>
  <si>
    <t>BUSRA ONDER</t>
  </si>
  <si>
    <t>SEBAHAT TOR</t>
  </si>
  <si>
    <t>DAMLAGUL YIGIT</t>
  </si>
  <si>
    <t>IREM AKTURK</t>
  </si>
  <si>
    <t>MAKBULE TUTAR</t>
  </si>
  <si>
    <t>HALIL KAYA</t>
  </si>
  <si>
    <t>GULFIDAN CANBOLAT</t>
  </si>
  <si>
    <t>ILAYDA NUR ASLAN</t>
  </si>
  <si>
    <t>SERIFE DOGAN</t>
  </si>
  <si>
    <t>SEVCAN KOZ</t>
  </si>
  <si>
    <t>FERHAT DEMIR</t>
  </si>
  <si>
    <t>ILKNUR BEKTAS</t>
  </si>
  <si>
    <t>ALI ATALAY SIRIN</t>
  </si>
  <si>
    <t>SEHER ERCAN</t>
  </si>
  <si>
    <t>MELIKE NAZIK SAHIN</t>
  </si>
  <si>
    <t>UMMUGULSUM DILARA UZUNDERE</t>
  </si>
  <si>
    <t>YIGIT HURSIT POLAT</t>
  </si>
  <si>
    <t>BUSENUR KURKLU</t>
  </si>
  <si>
    <t>HALIME KAYA</t>
  </si>
  <si>
    <t>HAZAL TILER</t>
  </si>
  <si>
    <t>ZEYNEP KOC</t>
  </si>
  <si>
    <t>ZEYNEP ULUSOY</t>
  </si>
  <si>
    <t>AHMET ERDEM</t>
  </si>
  <si>
    <t>EFKAN TAS</t>
  </si>
  <si>
    <t>ELIF KARATOPRAKLI</t>
  </si>
  <si>
    <t>MEHMET ALI ERACIL</t>
  </si>
  <si>
    <t>NURGUL COTUR</t>
  </si>
  <si>
    <t>BUSENUR TAPAN</t>
  </si>
  <si>
    <t>NICAR YALDIZ</t>
  </si>
  <si>
    <t>ENES ALI SATIR</t>
  </si>
  <si>
    <t>MIZGIN ILAYDA CARMIZOL</t>
  </si>
  <si>
    <t>SILA NAILLIOGLU</t>
  </si>
  <si>
    <t>EREN KARAYORUK</t>
  </si>
  <si>
    <t>GULBEN AYANOGLU</t>
  </si>
  <si>
    <t>BERFIN SULTAN DAGLI</t>
  </si>
  <si>
    <t>SADIK BERKE UNALAN</t>
  </si>
  <si>
    <t>VUSLAT UNAL</t>
  </si>
  <si>
    <t>ALI TETIK</t>
  </si>
  <si>
    <t>SERAP COSKUNARSLAN</t>
  </si>
  <si>
    <t>NEFISE FIRAT</t>
  </si>
  <si>
    <t>SEHER SINIROGLU</t>
  </si>
  <si>
    <t>HALENUR APAYDIN</t>
  </si>
  <si>
    <t>IREM YILDIRIM</t>
  </si>
  <si>
    <t>EBRAR AKAY</t>
  </si>
  <si>
    <t>EMIR HAN</t>
  </si>
  <si>
    <t>SENA NUR KOCABAY</t>
  </si>
  <si>
    <t>SEMA NUR KUPCU</t>
  </si>
  <si>
    <t>HALIL EREN YILDIZ</t>
  </si>
  <si>
    <t>SENGUL CELIK</t>
  </si>
  <si>
    <t>SENA DOGANCAY</t>
  </si>
  <si>
    <t>SEFA TUNA SENCAN</t>
  </si>
  <si>
    <t>DIDEM DEMIR</t>
  </si>
  <si>
    <t>MEHMET SARI</t>
  </si>
  <si>
    <t>NISANUR UZGAS</t>
  </si>
  <si>
    <t>SIMAL YILDIZ</t>
  </si>
  <si>
    <t>SIBEL COSGUN</t>
  </si>
  <si>
    <t>PINAR GURSOY</t>
  </si>
  <si>
    <t>BETUL DENIZ</t>
  </si>
  <si>
    <t>DONDU NUR ASLAN</t>
  </si>
  <si>
    <t>SULENUR YAVUZ</t>
  </si>
  <si>
    <t>ISMAIL BISGIN</t>
  </si>
  <si>
    <t>ONUR GOLOGLU</t>
  </si>
  <si>
    <t>IREM KARADAS</t>
  </si>
  <si>
    <t>SUGDE KOCA</t>
  </si>
  <si>
    <t>FEYZA FATMA YALDIZ</t>
  </si>
  <si>
    <t>NAGEHAN KARAGOZOGLU</t>
  </si>
  <si>
    <t>INAN UMUT ORNEK</t>
  </si>
  <si>
    <t>YADIGAR ER</t>
  </si>
  <si>
    <t>BERFIN YILDIRIM</t>
  </si>
  <si>
    <t>IREM ASLAN</t>
  </si>
  <si>
    <t>FATIH MERCAN</t>
  </si>
  <si>
    <t>OZNIL SENEFE</t>
  </si>
  <si>
    <t>NURAY ARLI</t>
  </si>
  <si>
    <t>ADEM AVCI</t>
  </si>
  <si>
    <t>FATMA NUR SAHIN</t>
  </si>
  <si>
    <t>YALCIN POYRAZ</t>
  </si>
  <si>
    <t>DAMLA GUNEY</t>
  </si>
  <si>
    <t>ASLIHAN KILIC</t>
  </si>
  <si>
    <t>AYSU GUN</t>
  </si>
  <si>
    <t>HIRANUR CARBOGA</t>
  </si>
  <si>
    <t>SEVVAL EROLFANOGLU</t>
  </si>
  <si>
    <t>BENSU AZRA ASMA</t>
  </si>
  <si>
    <t>MUHAMMET KURSAT CANBAZ</t>
  </si>
  <si>
    <t>OYKU CARDAKLI</t>
  </si>
  <si>
    <t>IPEK SERIFE ALTAY</t>
  </si>
  <si>
    <t>SEFIKAGUL PIRHAN</t>
  </si>
  <si>
    <t>BUSE AYDIN</t>
  </si>
  <si>
    <t>DILARA KARABIBER</t>
  </si>
  <si>
    <t>ECESU APDIK</t>
  </si>
  <si>
    <t>ZELIHA SANAL</t>
  </si>
  <si>
    <t>ENES TASPINAR</t>
  </si>
  <si>
    <t>AYSEL SILA GENC</t>
  </si>
  <si>
    <t>SADIK FURKAN OZKAN</t>
  </si>
  <si>
    <t>EMINE SARIKAYA</t>
  </si>
  <si>
    <t>ELIF NAZ ONCUL</t>
  </si>
  <si>
    <t>NAZLI SILA KAYHAN</t>
  </si>
  <si>
    <t>SEVVALSU ARSLAN</t>
  </si>
  <si>
    <t>NISA NAZ SAHIN</t>
  </si>
  <si>
    <t>NAZIKNUR YILDIRIM</t>
  </si>
  <si>
    <t>FATMA TASKIN</t>
  </si>
  <si>
    <t>KUBRA NUR ALTINAY</t>
  </si>
  <si>
    <t>EBRU ERCAN</t>
  </si>
  <si>
    <t>ALEYNA IPEK</t>
  </si>
  <si>
    <t>CANSER YILDIZ</t>
  </si>
  <si>
    <t>RABIA KOC</t>
  </si>
  <si>
    <t>BEYZA FIDAN</t>
  </si>
  <si>
    <t>CANSU EROL</t>
  </si>
  <si>
    <t>EDA ASLANTAS</t>
  </si>
  <si>
    <t>EDIBE NUR EREL</t>
  </si>
  <si>
    <t>KEVSER SABUNCU</t>
  </si>
  <si>
    <t>AZRA CENGEL</t>
  </si>
  <si>
    <t>EMINE TARAKCIOGLU</t>
  </si>
  <si>
    <t>SUDENAZ DEMIR</t>
  </si>
  <si>
    <t>NAZAR SEZER</t>
  </si>
  <si>
    <t>AYBUKE ARACLI</t>
  </si>
  <si>
    <t>FATMA ZEHRA YORUK</t>
  </si>
  <si>
    <t>ILAYDA GULER YILMAZ</t>
  </si>
  <si>
    <t>MERVE KAVAKLI</t>
  </si>
  <si>
    <t>LOKASYON</t>
  </si>
  <si>
    <t>LOGİNID</t>
  </si>
  <si>
    <t>UNVAN</t>
  </si>
  <si>
    <t>MÜŞTERİ TEMSİLCİSİNE TEŞEKKÜR</t>
  </si>
  <si>
    <t>TAKIM LİDERİNE TEŞEKKÜR</t>
  </si>
  <si>
    <t>ÇAĞRI MERKEZİNE GENEL OLARAK TEŞEKKÜR</t>
  </si>
  <si>
    <t>Skıll</t>
  </si>
  <si>
    <t>ÇALIŞMA DURUMU</t>
  </si>
  <si>
    <t>AHMET RIDVAN ERDOGMUS</t>
  </si>
  <si>
    <t>ERDOGAN DURUK</t>
  </si>
  <si>
    <t>1. Çağrı Süresi </t>
  </si>
  <si>
    <t>2. Çağrı Süresi </t>
  </si>
  <si>
    <t>HATALI TEŞEKKÜR KAYDI</t>
  </si>
  <si>
    <t>HATALI ŞİKAYET KAYDI</t>
  </si>
  <si>
    <t>ISIK BUGRA OZDEMIR</t>
  </si>
  <si>
    <t>ŞİKAYETE YÖNLENDİRME</t>
  </si>
  <si>
    <t>HATALI / EKSİK BİLGİ VERME</t>
  </si>
  <si>
    <t>HATASIZ ÇAĞRI</t>
  </si>
  <si>
    <t>İKNAYA GİTMEME</t>
  </si>
  <si>
    <t>GORKEM SERT</t>
  </si>
  <si>
    <t>AYSEGUL SUMBUL</t>
  </si>
  <si>
    <t>ESMANUR AKOGLU</t>
  </si>
  <si>
    <t>FATMA KADAS</t>
  </si>
  <si>
    <t>GULSER MERVE KAYNAK</t>
  </si>
  <si>
    <t>HASAN BERAT KALKAN</t>
  </si>
  <si>
    <t>MIHRIBAN OZEL</t>
  </si>
  <si>
    <t>NAZAR CIFTCI</t>
  </si>
  <si>
    <t>ZEHRA AYHAN</t>
  </si>
  <si>
    <t>SELINAY ONCU</t>
  </si>
  <si>
    <t>AHMET YASIN DOGAN</t>
  </si>
  <si>
    <t>BAHAR YAZICI</t>
  </si>
  <si>
    <t>BATUHAN COSKUN</t>
  </si>
  <si>
    <t>DOGAN KORKMAZ</t>
  </si>
  <si>
    <t>EFEKAN ALTAN</t>
  </si>
  <si>
    <t>ILAYDA GUNAY</t>
  </si>
  <si>
    <t>KUBRA DOGAN</t>
  </si>
  <si>
    <t>MEHMET CAN ILGIN</t>
  </si>
  <si>
    <t>MELIKE CORTEBASI</t>
  </si>
  <si>
    <t>OZLEM ATILA YILDIZ</t>
  </si>
  <si>
    <t>PERVIN ALADAG</t>
  </si>
  <si>
    <t>SERHAT KILIC</t>
  </si>
  <si>
    <t>SUDENAZ GEDIK</t>
  </si>
  <si>
    <t>TUGCE METIN</t>
  </si>
  <si>
    <t>YAGMUR GERDAN</t>
  </si>
  <si>
    <t>YEKTA ONUR EREN</t>
  </si>
  <si>
    <t>MEHMET ALI SAVAN</t>
  </si>
  <si>
    <t>KURSAD TERCANLI</t>
  </si>
  <si>
    <t>AHMET BATUHAN CELIK</t>
  </si>
  <si>
    <t>BAHADIR EMINER</t>
  </si>
  <si>
    <t>BURAK KAYA</t>
  </si>
  <si>
    <t>BURCU OZER</t>
  </si>
  <si>
    <t>CANPOLAT SENTURK</t>
  </si>
  <si>
    <t>EDANUR ALAKOCA</t>
  </si>
  <si>
    <t>FATIH YILDIRIM</t>
  </si>
  <si>
    <t>FATMA DILAN DUMLU</t>
  </si>
  <si>
    <t>GAMZE DONMEZ</t>
  </si>
  <si>
    <t>GAMZE VELIOGULLARI</t>
  </si>
  <si>
    <t>GOZDENUR KARSIYAKA</t>
  </si>
  <si>
    <t>HANIFE UZUN</t>
  </si>
  <si>
    <t>IKRANUR KARABULUT</t>
  </si>
  <si>
    <t>IREM BAHAR UYGUN</t>
  </si>
  <si>
    <t>KADIR OKAY BOGACLI</t>
  </si>
  <si>
    <t>MERAL GEDIK</t>
  </si>
  <si>
    <t>MUHAMMED MERTAN KARABAK</t>
  </si>
  <si>
    <t xml:space="preserve">MUHAMMET RASIM ERTAS </t>
  </si>
  <si>
    <t>MUHAMMET TALHA ATAY</t>
  </si>
  <si>
    <t>NESLIHAN HOS</t>
  </si>
  <si>
    <t>RUKIYE GUNGOR</t>
  </si>
  <si>
    <t>SALIH KUZIK</t>
  </si>
  <si>
    <t>SEDEF TEKMAN</t>
  </si>
  <si>
    <t>SERPIL AKPINAR</t>
  </si>
  <si>
    <t>SEYDA ARSLAN</t>
  </si>
  <si>
    <t>SEYDA IGIT</t>
  </si>
  <si>
    <t>TAHA BUGRA OZGUNDOGDU</t>
  </si>
  <si>
    <t>YAREN MARAL TEYMUR</t>
  </si>
  <si>
    <t>MUHAMMED IKBAL KARABACAK</t>
  </si>
  <si>
    <t>YAPRAK AKBABA</t>
  </si>
  <si>
    <t>HULYA BEKINKAYA</t>
  </si>
  <si>
    <t>MUHAMMET HUSEYIN ASLAN</t>
  </si>
  <si>
    <t>ESIN KARAKOC</t>
  </si>
  <si>
    <t>RIDVAN GUNES</t>
  </si>
  <si>
    <t>ESRA SUSAN</t>
  </si>
  <si>
    <t>AYNUR DOGAN</t>
  </si>
  <si>
    <t>BERAT YADIGAR</t>
  </si>
  <si>
    <t>NEVRUZ IRMAK</t>
  </si>
  <si>
    <t>GUL ALTUNBEY</t>
  </si>
  <si>
    <t>TUGAY KAAN BOGATU</t>
  </si>
  <si>
    <t>MUHAMMED KIRYUCI</t>
  </si>
  <si>
    <t>FUAT ERDEMIR</t>
  </si>
  <si>
    <t>OSMAN ENGIN</t>
  </si>
  <si>
    <t>SERPIL GUMUS</t>
  </si>
  <si>
    <t>GOKMEN AGDAS</t>
  </si>
  <si>
    <t>NESLIHAN YAGAN</t>
  </si>
  <si>
    <t>AYCE IDIL ERKMEN</t>
  </si>
  <si>
    <t>KEMAL MUFTUOGLU</t>
  </si>
  <si>
    <t>MÜŞTERİ TEMSİLCİSİ</t>
  </si>
  <si>
    <t>UZMAN MÜŞTERİ TEMSİLCİSİ</t>
  </si>
  <si>
    <t>Kayıt Oluşturan MT Hatalı Mı?</t>
  </si>
  <si>
    <t>Hata Sebebi Olan Durum Nedir?</t>
  </si>
  <si>
    <t>AKTİF</t>
  </si>
  <si>
    <t>Kalite
Yetkilisi</t>
  </si>
  <si>
    <t>Kalite
Değerlendirmesi</t>
  </si>
  <si>
    <t>Çağrı
Skoru</t>
  </si>
  <si>
    <t>Şikayet
Alt
Nedeni</t>
  </si>
  <si>
    <t>Şikayet
Ana
Nedeni</t>
  </si>
  <si>
    <t>Çağrının
Konusu</t>
  </si>
  <si>
    <t>Geliş
Kanalı</t>
  </si>
  <si>
    <t>MT
İsim
Soyisim</t>
  </si>
  <si>
    <t>Takım
Lideri</t>
  </si>
  <si>
    <t>Şikayet
Oluşturma
Ayı</t>
  </si>
  <si>
    <t>Yapılacak
İş Kapatma
Tarihi</t>
  </si>
  <si>
    <t>Yapılacak
İş Kayıt
Tarihi</t>
  </si>
  <si>
    <t>Yapılacak
İş Sonucu</t>
  </si>
  <si>
    <t>Mail
İletildi Mi?</t>
  </si>
  <si>
    <t>Kaydı 
Oluşturan
MT Agent ID</t>
  </si>
  <si>
    <t>Kaydı
Oluşturan
MT İsim Soyisim</t>
  </si>
  <si>
    <t>Kaydı
Oluşturan
MT Takım Lideri</t>
  </si>
  <si>
    <t>Kayıt
Oluşturan
MT Hatalı Mı?</t>
  </si>
  <si>
    <t>Hata Sebebi
Olan Durum Nedir?</t>
  </si>
  <si>
    <t>Şikayete Konu Olan
Kaç Çağrı Dinlemesi Yapıldı </t>
  </si>
  <si>
    <t>Agent
ID</t>
  </si>
  <si>
    <t>Yapılacak
İş No</t>
  </si>
  <si>
    <t>Telefon
No</t>
  </si>
  <si>
    <t>Fraud (Tele Satış)</t>
  </si>
  <si>
    <t>VAR</t>
  </si>
  <si>
    <t>YOK</t>
  </si>
  <si>
    <t>* 51845849181625</t>
  </si>
  <si>
    <t>*74435738826854</t>
  </si>
  <si>
    <t>*16193879313370</t>
  </si>
  <si>
    <t>*23115844499930</t>
  </si>
  <si>
    <t>* 61233088579921</t>
  </si>
  <si>
    <t>* 91625930669158</t>
  </si>
  <si>
    <t>*73941030689760</t>
  </si>
  <si>
    <t>*50695329682690 -  53110455139033</t>
  </si>
  <si>
    <t>MÜŞTERİ TALEBİNE YARDIMCI OLMAMASI</t>
  </si>
  <si>
    <t>-</t>
  </si>
  <si>
    <t>ARALIK</t>
  </si>
  <si>
    <t>* 41077155367913</t>
  </si>
  <si>
    <t>CIYDEM AKSU</t>
  </si>
  <si>
    <t xml:space="preserve">GOKHAN ILKHAN </t>
  </si>
  <si>
    <t xml:space="preserve">MUHAMMED ALTUNTERIM </t>
  </si>
  <si>
    <t>HAMZA EROGLU</t>
  </si>
  <si>
    <t>YASIN DIREK</t>
  </si>
  <si>
    <t xml:space="preserve">BERAT ACAY </t>
  </si>
  <si>
    <t>MUHAMMET TALHA BERKAY TERCANLI</t>
  </si>
  <si>
    <t>MUHAMMED TARIK KUÇUK</t>
  </si>
  <si>
    <t>IREM GOKÇE KATRANLI</t>
  </si>
  <si>
    <t>BURÇIN ARICI</t>
  </si>
  <si>
    <t>ZEHRANUR KARABULUT CELEBI</t>
  </si>
  <si>
    <t>ISMAIL CAN  YENIARAS</t>
  </si>
  <si>
    <t>BASAK  KARAGOL</t>
  </si>
  <si>
    <t xml:space="preserve">İNAN UMUT ÖRNEK </t>
  </si>
  <si>
    <t>GORKEM KUTLUOGLU</t>
  </si>
  <si>
    <t>MELIKE ILAYDA CAL</t>
  </si>
  <si>
    <t>ELMAS  AKSOY</t>
  </si>
  <si>
    <t>GoRKEM SERT</t>
  </si>
  <si>
    <t>GOKSU DANACI</t>
  </si>
  <si>
    <t>DıLAN oZDEN</t>
  </si>
  <si>
    <t>BusRA oNDER</t>
  </si>
  <si>
    <t>BUSE NUR MANGALCI</t>
  </si>
  <si>
    <t>AYSE OGUZ</t>
  </si>
  <si>
    <t>SILA  TURAN</t>
  </si>
  <si>
    <t>SAMET DEMIRBAS</t>
  </si>
  <si>
    <t>SILA ELIF  IPEK</t>
  </si>
  <si>
    <t xml:space="preserve">BERKE SABUR </t>
  </si>
  <si>
    <t>ZEYNEP BEKTAS</t>
  </si>
  <si>
    <t>TAHSIN UMUT ERSOY</t>
  </si>
  <si>
    <t>SERIFE KAYA</t>
  </si>
  <si>
    <t>SINEM ASLAN</t>
  </si>
  <si>
    <t>OSMAN BERK YAVUZDOGAN</t>
  </si>
  <si>
    <t>NURHAN ÇELİK</t>
  </si>
  <si>
    <t>MELISANUR YIGIT</t>
  </si>
  <si>
    <t>HILAL KUBRA GULEC</t>
  </si>
  <si>
    <t>GULFEM FAHRIYE ERDEMIR</t>
  </si>
  <si>
    <t>ERSIN AKYUZ</t>
  </si>
  <si>
    <t>EMRULLAH DURAN</t>
  </si>
  <si>
    <t>EMIRHAN USLU</t>
  </si>
  <si>
    <t>ELIF YAREN GUNAY</t>
  </si>
  <si>
    <t>CEREN NUR ÖZDEMİR</t>
  </si>
  <si>
    <t>AZIZE NUR GUNDUZ</t>
  </si>
  <si>
    <t>AYSE ECEM ATASOY</t>
  </si>
  <si>
    <t>ANIL TOPCUOL</t>
  </si>
  <si>
    <t>AMİNE YÜRÜK</t>
  </si>
  <si>
    <t>*50785633953374</t>
  </si>
  <si>
    <t>*64468646961494</t>
  </si>
  <si>
    <t>*52922832646944</t>
  </si>
  <si>
    <t xml:space="preserve">*08792139248286 </t>
  </si>
  <si>
    <t>*41276545567359</t>
  </si>
  <si>
    <t>TAKIM LIDERI</t>
  </si>
  <si>
    <t>MÜŞTERİNİN İSTEĞİ DIŞINDA ÇAĞRININ SONLANDIRILMASI</t>
  </si>
  <si>
    <t>ŞEYMANUR ÇEVİK</t>
  </si>
  <si>
    <t>*82256775727712</t>
  </si>
  <si>
    <t>GEÇERLİ ŞİKAYET</t>
  </si>
  <si>
    <t>* 06692573271774</t>
  </si>
  <si>
    <t>* 29588671274849</t>
  </si>
  <si>
    <t xml:space="preserve">MEHMET ALI SAVAN </t>
  </si>
  <si>
    <t>*80569015951776</t>
  </si>
  <si>
    <t>*68159114921115</t>
  </si>
  <si>
    <t>*18106198896754</t>
  </si>
  <si>
    <t>*34361350757979</t>
  </si>
  <si>
    <t>*60636296490951</t>
  </si>
  <si>
    <t>* 32179803957511</t>
  </si>
  <si>
    <t>*82245115182129</t>
  </si>
  <si>
    <t>* 10587420598190</t>
  </si>
  <si>
    <t>* 98692030062890</t>
  </si>
  <si>
    <t>*83686419794734</t>
  </si>
  <si>
    <t>*34297522472992</t>
  </si>
  <si>
    <t>* 56198053727377</t>
  </si>
  <si>
    <t>*22144223336582</t>
  </si>
  <si>
    <t>*26282504078095 -32919914608478</t>
  </si>
  <si>
    <t>* 58892436185815</t>
  </si>
  <si>
    <t>* 90293565353788</t>
  </si>
  <si>
    <t>* 91816562266225</t>
  </si>
  <si>
    <t>*34547570376662 - 73475250706034</t>
  </si>
  <si>
    <t>* 82193364157181</t>
  </si>
  <si>
    <t>* 34660217186854</t>
  </si>
  <si>
    <t>* 08238360509951</t>
  </si>
  <si>
    <t>*98102756910942</t>
  </si>
  <si>
    <t>*61683295419504</t>
  </si>
  <si>
    <t>*96976287039344</t>
  </si>
  <si>
    <t>*16470255121004</t>
  </si>
  <si>
    <t>*38852377816726</t>
  </si>
  <si>
    <t>*44155800011911</t>
  </si>
  <si>
    <t>* 40160472929148</t>
  </si>
  <si>
    <t>*69091999348095</t>
  </si>
  <si>
    <t>*46401545247707</t>
  </si>
  <si>
    <t>*17770595738566</t>
  </si>
  <si>
    <t>* 58869292953303</t>
  </si>
  <si>
    <t>* 93278790399504</t>
  </si>
  <si>
    <t>*	 47978103962848</t>
  </si>
  <si>
    <t>*89942940499846</t>
  </si>
  <si>
    <t>MUHAMMET ACAY</t>
  </si>
  <si>
    <t>GENEL TEŞEKKÜR</t>
  </si>
  <si>
    <t>*20747445682895</t>
  </si>
  <si>
    <t>* 16799562088129</t>
  </si>
  <si>
    <t xml:space="preserve">*5577961400 </t>
  </si>
  <si>
    <t>*23734251760</t>
  </si>
  <si>
    <t>*40189127520257</t>
  </si>
  <si>
    <t>*38037828992914</t>
  </si>
  <si>
    <t>*84636038938924</t>
  </si>
  <si>
    <t>*61599149708119</t>
  </si>
  <si>
    <t>*27858296276453</t>
  </si>
  <si>
    <t>*95328502893739</t>
  </si>
  <si>
    <t>*09273024475149</t>
  </si>
  <si>
    <t>*67627134964761</t>
  </si>
  <si>
    <t>*67474750157496</t>
  </si>
  <si>
    <t>*94875261136892</t>
  </si>
  <si>
    <t>*68081307875737</t>
  </si>
  <si>
    <t>*64684544865705</t>
  </si>
  <si>
    <t>*98077338459862</t>
  </si>
  <si>
    <t>*44601316698951</t>
  </si>
  <si>
    <t>*87050688424209</t>
  </si>
  <si>
    <t>*77661791620289 / *98638475408774</t>
  </si>
  <si>
    <t>*16276000783384</t>
  </si>
  <si>
    <t>*83582327210060</t>
  </si>
  <si>
    <t>*24527561385988</t>
  </si>
  <si>
    <t>*55373326717438</t>
  </si>
  <si>
    <t>*99936147220279</t>
  </si>
  <si>
    <t>*44234571216944</t>
  </si>
  <si>
    <t>*89260151150727</t>
  </si>
  <si>
    <t>*51693170925401</t>
  </si>
  <si>
    <t>*50093611422457</t>
  </si>
  <si>
    <t>*88058868679079</t>
  </si>
  <si>
    <t>*66211991616477</t>
  </si>
  <si>
    <t>YETERSİZ VERİ</t>
  </si>
  <si>
    <t>* 05338097907876</t>
  </si>
  <si>
    <t>* 92568154070606</t>
  </si>
  <si>
    <t>* 68631031475981</t>
  </si>
  <si>
    <t>*97102215958176</t>
  </si>
  <si>
    <t>*45355374560338 - 24813948826779</t>
  </si>
  <si>
    <t>*30981066312734</t>
  </si>
  <si>
    <t>*46826625804579</t>
  </si>
  <si>
    <t>*36767298461545</t>
  </si>
  <si>
    <t>* 16259174022836</t>
  </si>
  <si>
    <t>*61233088579921</t>
  </si>
  <si>
    <t>*79822573193645</t>
  </si>
  <si>
    <t>*57927713848160</t>
  </si>
  <si>
    <t>* 00034842950884</t>
  </si>
  <si>
    <t>*34339066028972</t>
  </si>
  <si>
    <t>*06923408436665</t>
  </si>
  <si>
    <t>* 74642961089469</t>
  </si>
  <si>
    <t>*70163017255752</t>
  </si>
  <si>
    <t>*43933102591353</t>
  </si>
  <si>
    <t>* 44427200792825</t>
  </si>
  <si>
    <t>* 29423756890582</t>
  </si>
  <si>
    <t>* 53094218547675</t>
  </si>
  <si>
    <t>*17317395401817</t>
  </si>
  <si>
    <t>* 20071763148419</t>
  </si>
  <si>
    <t>*94673035066354</t>
  </si>
  <si>
    <t>*19173623208795</t>
  </si>
  <si>
    <t>* 74437656586046</t>
  </si>
  <si>
    <t>*76530548284458</t>
  </si>
  <si>
    <t>*93601539171810</t>
  </si>
  <si>
    <t>*37012218012936</t>
  </si>
  <si>
    <t>*41697076777005</t>
  </si>
  <si>
    <t>*32872892515175</t>
  </si>
  <si>
    <t>*46161963736914</t>
  </si>
  <si>
    <t>*58781917763135</t>
  </si>
  <si>
    <t>*16677318875516</t>
  </si>
  <si>
    <t>*40653301716386</t>
  </si>
  <si>
    <t>*33877520054200</t>
  </si>
  <si>
    <t>*12781292947545</t>
  </si>
  <si>
    <t>*72971361142468</t>
  </si>
  <si>
    <t>*09553879299340</t>
  </si>
  <si>
    <t>*19799352321581</t>
  </si>
  <si>
    <t>*64049643099596</t>
  </si>
  <si>
    <t>*23468061762781</t>
  </si>
  <si>
    <t>*58259929449588</t>
  </si>
  <si>
    <t>*59403708701412</t>
  </si>
  <si>
    <t>*19897646417894</t>
  </si>
  <si>
    <t>*46559708699063</t>
  </si>
  <si>
    <t>*72693355389789</t>
  </si>
  <si>
    <t>*23685042902962</t>
  </si>
  <si>
    <t>*80155429498090</t>
  </si>
  <si>
    <t>*43030321772903</t>
  </si>
  <si>
    <t>*08023398395601</t>
  </si>
  <si>
    <t>*92465198787462</t>
  </si>
  <si>
    <t>*81773920396237</t>
  </si>
  <si>
    <t>*38767857992419</t>
  </si>
  <si>
    <t>*2505102392</t>
  </si>
  <si>
    <t>*64479142753348</t>
  </si>
  <si>
    <t>*93464438160574</t>
  </si>
  <si>
    <t>*65104541402974</t>
  </si>
  <si>
    <t>*05290337348904</t>
  </si>
  <si>
    <t>*10167357617012</t>
  </si>
  <si>
    <t>*69608727508448</t>
  </si>
  <si>
    <t>*12622755386425</t>
  </si>
  <si>
    <t>*93860917838255</t>
  </si>
  <si>
    <t>*10036744770690</t>
  </si>
  <si>
    <t>*16836141811862</t>
  </si>
  <si>
    <t>*78101524413220</t>
  </si>
  <si>
    <t>*33541204121633</t>
  </si>
  <si>
    <t>*60632398589478</t>
  </si>
  <si>
    <t>*63260802311216</t>
  </si>
  <si>
    <t>GOKHAN ILKHAN</t>
  </si>
  <si>
    <t>BURCIN ARICI</t>
  </si>
  <si>
    <t>MUHAMMED TARIK KUCUK</t>
  </si>
  <si>
    <t>ELMAS AKSOY</t>
  </si>
  <si>
    <t>*83241941161269</t>
  </si>
  <si>
    <t>* 97851023031811</t>
  </si>
  <si>
    <t>* 49796090834891</t>
  </si>
  <si>
    <t>çağrı soru ısaretı</t>
  </si>
  <si>
    <t>*41926382682427 / *98566086210462</t>
  </si>
  <si>
    <t>*93725955391067</t>
  </si>
  <si>
    <t>*58697019784494</t>
  </si>
  <si>
    <t>*70581528639843</t>
  </si>
  <si>
    <t>*76428620035598</t>
  </si>
  <si>
    <t>*45344882624726</t>
  </si>
  <si>
    <t>* 36693419509205</t>
  </si>
  <si>
    <t>*35521015264355</t>
  </si>
  <si>
    <t>Yazılı Uyarı</t>
  </si>
  <si>
    <t>Sözlü Uyarı</t>
  </si>
  <si>
    <t>İşlem Yok</t>
  </si>
  <si>
    <t>Uyarıldı</t>
  </si>
  <si>
    <t>UYARILDI</t>
  </si>
  <si>
    <t>İÇ BİRİM</t>
  </si>
  <si>
    <t>Satır Etiketleri</t>
  </si>
  <si>
    <t>(boş)</t>
  </si>
  <si>
    <t>Genel Toplam</t>
  </si>
  <si>
    <t>Sütun Etiketleri</t>
  </si>
  <si>
    <t>- - -</t>
  </si>
  <si>
    <t>Say Lokasyon</t>
  </si>
  <si>
    <t>MUHIM PERSONEL ARAMASI CAGRI BULUNMUYOR</t>
  </si>
  <si>
    <t>GSM NODAN KAYNAKLI SIKAYETE ULASILAMADI</t>
  </si>
  <si>
    <t>*05033417390086</t>
  </si>
  <si>
    <t>*65606609048009</t>
  </si>
  <si>
    <t>*37688240176841</t>
  </si>
  <si>
    <t>*65427856023464</t>
  </si>
  <si>
    <t>*92563531169235</t>
  </si>
  <si>
    <t>*42539158752811</t>
  </si>
  <si>
    <t>*40486324746974</t>
  </si>
  <si>
    <t>*47327837471717</t>
  </si>
  <si>
    <t>*29208313579867</t>
  </si>
  <si>
    <t>* 10046835086499</t>
  </si>
  <si>
    <t>* 89620675003331</t>
  </si>
  <si>
    <t>*94747814272655</t>
  </si>
  <si>
    <t>*45156520600296</t>
  </si>
  <si>
    <t>* 23996404820360</t>
  </si>
  <si>
    <t>* 25267755776011</t>
  </si>
  <si>
    <t>*93171673053882</t>
  </si>
  <si>
    <t>*65661237897155</t>
  </si>
  <si>
    <t>*90729910904966</t>
  </si>
  <si>
    <t>*3490925065047</t>
  </si>
  <si>
    <t>* 57300022924330</t>
  </si>
  <si>
    <t>* 64207201064135</t>
  </si>
  <si>
    <t>*88731503101317</t>
  </si>
  <si>
    <t>*53085629429544</t>
  </si>
  <si>
    <t>*08621637763947</t>
  </si>
  <si>
    <t>ilettiği tarıhlerde arama yk</t>
  </si>
  <si>
    <t>*96862488681427 -42422380662969</t>
  </si>
  <si>
    <t>* 69777026315343</t>
  </si>
  <si>
    <t>*28642122450666</t>
  </si>
  <si>
    <t>* 93328134921410</t>
  </si>
  <si>
    <t>* 34131424558156</t>
  </si>
  <si>
    <t>*42221481318754</t>
  </si>
  <si>
    <t>*24743304913790</t>
  </si>
  <si>
    <t>*27478716259623</t>
  </si>
  <si>
    <t>*84558701085612</t>
  </si>
  <si>
    <t>*44421659033458</t>
  </si>
  <si>
    <t>*16202203670589</t>
  </si>
  <si>
    <t>*20969748833529</t>
  </si>
  <si>
    <t>*07368059968082</t>
  </si>
  <si>
    <t>*93354612424522</t>
  </si>
  <si>
    <t>*33958796967991</t>
  </si>
  <si>
    <t>*70598683084646</t>
  </si>
  <si>
    <t>*84481290245681</t>
  </si>
  <si>
    <t>*61738885187309</t>
  </si>
  <si>
    <t>*88491059298139</t>
  </si>
  <si>
    <t>*33998353768125</t>
  </si>
  <si>
    <t>*12535607056909</t>
  </si>
  <si>
    <t>*19127365467272</t>
  </si>
  <si>
    <t>*47453639504330</t>
  </si>
  <si>
    <t>*63747703277699</t>
  </si>
  <si>
    <t>*11970770281396</t>
  </si>
  <si>
    <t>* 07631997521166</t>
  </si>
  <si>
    <t>ESRA USTAOGLU</t>
  </si>
  <si>
    <t>* 90684446933750</t>
  </si>
  <si>
    <t>* 82069460796876</t>
  </si>
  <si>
    <t>* 10774361628965</t>
  </si>
  <si>
    <t>* 24782138248039</t>
  </si>
  <si>
    <t>*18574474456031</t>
  </si>
  <si>
    <t xml:space="preserve">*53644243620014 / *38710955496228 </t>
  </si>
  <si>
    <t>*69922500522787</t>
  </si>
  <si>
    <t>*20750494540735</t>
  </si>
  <si>
    <t>*24049277711366</t>
  </si>
  <si>
    <t>*24697947301746</t>
  </si>
  <si>
    <t>* 46219543110206</t>
  </si>
  <si>
    <t>* 83464540290226</t>
  </si>
  <si>
    <t>*30817802349795</t>
  </si>
  <si>
    <t>ÇALDIR KAPAT YAPILDIĞI İÇİN SIKAYTCI</t>
  </si>
  <si>
    <t>* 67877261047074</t>
  </si>
  <si>
    <t>*78051573325640</t>
  </si>
  <si>
    <t>SEVCA BULUT</t>
  </si>
  <si>
    <t>* 61072308180798</t>
  </si>
  <si>
    <t>*76614196783446</t>
  </si>
  <si>
    <t>* 03938487072273</t>
  </si>
  <si>
    <t>* 36412105085809</t>
  </si>
  <si>
    <t>*98223170925494</t>
  </si>
  <si>
    <t>*06006638068637</t>
  </si>
  <si>
    <t>*80703981535330</t>
  </si>
  <si>
    <t>* 08164666404884</t>
  </si>
  <si>
    <t>*93564890792295</t>
  </si>
  <si>
    <t>*51611036745188</t>
  </si>
  <si>
    <t>* 33189659768886</t>
  </si>
  <si>
    <t>*45085647784956</t>
  </si>
  <si>
    <t>*39989853749239</t>
  </si>
  <si>
    <t>*92917188378664   - 18903415067654</t>
  </si>
  <si>
    <t>* 82583048048487</t>
  </si>
  <si>
    <t>* 03282704783138</t>
  </si>
  <si>
    <t>*10092645154924</t>
  </si>
  <si>
    <t>*03532746428451</t>
  </si>
  <si>
    <t>*50543467131375</t>
  </si>
  <si>
    <t>*88159421428763</t>
  </si>
  <si>
    <t>* 28681863786836</t>
  </si>
  <si>
    <t>*28681863786836</t>
  </si>
  <si>
    <t>* 78628957604597</t>
  </si>
  <si>
    <t>* 76451201544454</t>
  </si>
  <si>
    <t>* 84126405189188</t>
  </si>
  <si>
    <t>* 35727287423719</t>
  </si>
  <si>
    <t>* 57351696302314</t>
  </si>
  <si>
    <t>*68032586613155</t>
  </si>
  <si>
    <t>* 45945895946441</t>
  </si>
  <si>
    <t>*57364724482088</t>
  </si>
  <si>
    <t>*05180120961757</t>
  </si>
  <si>
    <t>* 47067504174843</t>
  </si>
  <si>
    <t>*53547313300122</t>
  </si>
  <si>
    <t>*13327002763409</t>
  </si>
  <si>
    <t>*25474144964041</t>
  </si>
  <si>
    <t>*40122785313646</t>
  </si>
  <si>
    <t>*79996070939725</t>
  </si>
  <si>
    <t>* 89248543831718</t>
  </si>
  <si>
    <t>*86816966889418</t>
  </si>
  <si>
    <t>* 01103422589176</t>
  </si>
  <si>
    <t>*11896393081129</t>
  </si>
  <si>
    <t>* 75119424372284</t>
  </si>
  <si>
    <t>*29296443192780</t>
  </si>
  <si>
    <t>*61007288940655</t>
  </si>
  <si>
    <t>*69695243967574</t>
  </si>
  <si>
    <t>*65933577079192</t>
  </si>
  <si>
    <t>*61371992408076</t>
  </si>
  <si>
    <t>*36981890026002</t>
  </si>
  <si>
    <t>*84432139645044</t>
  </si>
  <si>
    <t>* 76403466178510</t>
  </si>
  <si>
    <t>*80018804454461</t>
  </si>
  <si>
    <t>*31085086829662</t>
  </si>
  <si>
    <t>*21530462214749</t>
  </si>
  <si>
    <t>*98151304726803</t>
  </si>
  <si>
    <t>*03918418730561</t>
  </si>
  <si>
    <t>*85699465679143</t>
  </si>
  <si>
    <t>*87468245439256 / *46253983353052</t>
  </si>
  <si>
    <t>*29089298085119</t>
  </si>
  <si>
    <t>*67081595848093</t>
  </si>
  <si>
    <t>*29711490909850</t>
  </si>
  <si>
    <t>*04872891643387</t>
  </si>
  <si>
    <t>*27826241344528</t>
  </si>
  <si>
    <t>*02141890639181</t>
  </si>
  <si>
    <t>* 13749556628175</t>
  </si>
  <si>
    <t>* 24911870850487</t>
  </si>
  <si>
    <t>* 16987899403550</t>
  </si>
  <si>
    <t>*15834023547158</t>
  </si>
  <si>
    <t>*05486657665917</t>
  </si>
  <si>
    <t>*10449223343441</t>
  </si>
  <si>
    <t>*45869023137940</t>
  </si>
  <si>
    <t>*26027897654814</t>
  </si>
  <si>
    <t>*49296228205054</t>
  </si>
  <si>
    <t>*91955440336082</t>
  </si>
  <si>
    <t>*40716724714216</t>
  </si>
  <si>
    <t>*69694689723091</t>
  </si>
  <si>
    <t>*67610647427999</t>
  </si>
  <si>
    <t>*01496136019454</t>
  </si>
  <si>
    <t>*62556937746627</t>
  </si>
  <si>
    <t>*49822738218267</t>
  </si>
  <si>
    <t>*34380454763412</t>
  </si>
  <si>
    <t>*64049319202957</t>
  </si>
  <si>
    <t>* 80504255255190</t>
  </si>
  <si>
    <t>*00741994681911</t>
  </si>
  <si>
    <t>*61572944634224</t>
  </si>
  <si>
    <t>*89803046896201</t>
  </si>
  <si>
    <t>*28712093040013</t>
  </si>
  <si>
    <t>*02730512448789</t>
  </si>
  <si>
    <t>*22989233624012</t>
  </si>
  <si>
    <t>*20051988670798</t>
  </si>
  <si>
    <t>*53855156426785</t>
  </si>
  <si>
    <t>*87459742339464</t>
  </si>
  <si>
    <t>*04876041819630</t>
  </si>
  <si>
    <t>*28179015292981</t>
  </si>
  <si>
    <t>*26500119020111</t>
  </si>
  <si>
    <t>*29286764218620</t>
  </si>
  <si>
    <t>*06446997222984</t>
  </si>
  <si>
    <t>*10736084244222</t>
  </si>
  <si>
    <t>*00660340331590</t>
  </si>
  <si>
    <t>*75406678190845</t>
  </si>
  <si>
    <t>*02379339623763</t>
  </si>
  <si>
    <t>DILAN OZDEN</t>
  </si>
  <si>
    <t>AHMET CIHAN ERDEM</t>
  </si>
  <si>
    <t>*12551023872399 / 67591814891110</t>
  </si>
  <si>
    <t>*99171929340165</t>
  </si>
  <si>
    <t>*94269667496869</t>
  </si>
  <si>
    <t>*30495764548026</t>
  </si>
  <si>
    <t>*29241443831660</t>
  </si>
  <si>
    <t>*78196619491025</t>
  </si>
  <si>
    <t>**76530548284458</t>
  </si>
  <si>
    <t>*36605459061571</t>
  </si>
  <si>
    <t>*09798308332096</t>
  </si>
  <si>
    <t>*80429930053859</t>
  </si>
  <si>
    <t>SÖZLÜ UYARI YAPILDI</t>
  </si>
  <si>
    <t>*83155798193926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</si>
</sst>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;@"/>
  </numFmts>
  <fonts count="1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8"/>
      <color rgb="FF333333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8"/>
      <name val="Calibri"/>
      <family val="2"/>
      <scheme val="minor"/>
    </font>
    <font>
      <b/>
      <sz val="8"/>
      <color rgb="FFFF0000"/>
      <name val="Calibri"/>
      <family val="2"/>
      <charset val="162"/>
      <scheme val="minor"/>
    </font>
    <font>
      <b/>
      <sz val="11"/>
      <color theme="0" tint="-4.9989318521683403E-2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4" fillId="2" borderId="6" xfId="0" applyFont="1" applyFill="1" applyBorder="1" applyAlignment="1">
      <alignment vertical="center"/>
    </xf>
    <xf numFmtId="0" fontId="14" fillId="2" borderId="6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4" fontId="9" fillId="7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3" xfId="1" xr:uid="{8A01D48B-A423-4616-8E97-07622B445011}"/>
  </cellStyles>
  <dxfs count="1">
    <dxf>
      <font>
        <b/>
        <i val="0"/>
        <color rgb="FFC00000"/>
      </font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un GÜLEÇ" refreshedDate="46008.496769444442" createdVersion="6" refreshedVersion="6" minRefreshableVersion="3" recordCount="270" xr:uid="{2EEB2185-EA26-4F18-B179-E486FC46DEDC}">
  <cacheSource type="worksheet">
    <worksheetSource ref="A1:AG1048576" sheet="Data"/>
  </cacheSource>
  <cacheFields count="30">
    <cacheField name="Geliş_x000a_Kanalı" numFmtId="0">
      <sharedItems containsBlank="1"/>
    </cacheField>
    <cacheField name="Yapılacak_x000a_İş No" numFmtId="0">
      <sharedItems containsBlank="1" containsMixedTypes="1" containsNumber="1" containsInteger="1" minValue="2505227281" maxValue="5395803951"/>
    </cacheField>
    <cacheField name="Telefon_x000a_No" numFmtId="0">
      <sharedItems containsString="0" containsBlank="1" containsNumber="1" containsInteger="1" minValue="2165313030" maxValue="5547508168"/>
    </cacheField>
    <cacheField name="Şirket" numFmtId="0">
      <sharedItems containsBlank="1"/>
    </cacheField>
    <cacheField name="Skıll" numFmtId="0">
      <sharedItems containsBlank="1" count="4">
        <s v="DAĞITIM"/>
        <s v="PERAKENDE"/>
        <s v="- - -"/>
        <m/>
      </sharedItems>
    </cacheField>
    <cacheField name="Agent_x000a_ID" numFmtId="0">
      <sharedItems containsBlank="1" containsMixedTypes="1" containsNumber="1" containsInteger="1" minValue="110403" maxValue="999999"/>
    </cacheField>
    <cacheField name="MT_x000a_İsim_x000a_Soyisim" numFmtId="0">
      <sharedItems containsBlank="1"/>
    </cacheField>
    <cacheField name="Takım_x000a_Lideri" numFmtId="0">
      <sharedItems containsBlank="1"/>
    </cacheField>
    <cacheField name="Lokasyon" numFmtId="0">
      <sharedItems containsBlank="1" containsMixedTypes="1" containsNumber="1" containsInteger="1" minValue="0" maxValue="0" count="6">
        <s v="ERZURUM"/>
        <s v="KARS"/>
        <s v="ANKARA"/>
        <n v="0"/>
        <s v="- - -"/>
        <m/>
      </sharedItems>
    </cacheField>
    <cacheField name="Ünvan" numFmtId="0">
      <sharedItems containsBlank="1" containsMixedTypes="1" containsNumber="1" containsInteger="1" minValue="0" maxValue="0"/>
    </cacheField>
    <cacheField name="Çağrının_x000a_Konusu" numFmtId="0">
      <sharedItems containsBlank="1"/>
    </cacheField>
    <cacheField name="Şikayet_x000a_Ana_x000a_Nedeni" numFmtId="0">
      <sharedItems containsBlank="1" count="5">
        <s v="ÜRÜN"/>
        <s v="DAVRANIŞ"/>
        <s v="SÜREÇ"/>
        <s v="TEŞEKKÜR"/>
        <m/>
      </sharedItems>
    </cacheField>
    <cacheField name="Şikayet_x000a_Alt_x000a_Nedeni" numFmtId="0">
      <sharedItems containsBlank="1" count="21">
        <s v="HATALI / EKSİK KESİNTİ SÜREÇLERİ BİLGİLENDİRMESİ"/>
        <s v="TAVIR, TARZ YAPMAK, SES YÜKSELTMEK VB."/>
        <s v="HATALI MÜHİM/MOD/ÇAĞRI MERKEZİ VB. YÖNLENDİRME"/>
        <s v="HATALI / EKSİK AYDINLATMA BİLGİLENDİRMESİ"/>
        <s v="HATALI / EKSİK BORÇ BİLGİLENDİRMESİ"/>
        <s v="MÜŞTERİ TALEBİNE YARDIMCI OLMAMASI"/>
        <s v="STANDARDA UYGUN OLMAYAN ÇAĞRI SONLANDIRMA"/>
        <s v="MÜŞTERİNİN YÜZÜNE TELEFON KAPATMA"/>
        <s v="MÜŞTERİNİN İSTEĞİ DIŞINDA ÇAĞRININ SONLANDIRILMASI"/>
        <s v="YETKİLİYE AKTARMAMA"/>
        <s v="MÜŞTERİ TEMSİLCİSİNE TEŞEKKÜR"/>
        <s v="HATALI / EKSİK KAÇAK SÜREÇLERİ BİLGİLENDİRMESİ"/>
        <s v="HATALI KATEGORİ ÜZERİNDEN KAYIT ALMA"/>
        <s v="HATALI / EKSİK GÜVENCE BEDELİ BİLGİLENDİRMESİ"/>
        <s v="HATALI ABONELİK ÜZERİNDEN İŞLEM YAPILMASI"/>
        <s v="ÇAĞRI MERKEZİNE GENEL OLARAK TEŞEKKÜR"/>
        <s v="YETERSİZ VERİ"/>
        <s v="LOG KAYDININ OLMAMASI"/>
        <s v="HATALI / EKSİK SAYAÇ SÜREÇLERİ BİLGİLENDİRMESİ"/>
        <s v="HATALI / EKSİK İKİLİ ANLAŞMA SÜREÇLERİ BİLGİLENDİRMESİ"/>
        <m/>
      </sharedItems>
    </cacheField>
    <cacheField name="Yapılacak_x000a_İş Kayıt_x000a_Tarihi" numFmtId="0">
      <sharedItems containsDate="1" containsBlank="1" containsMixedTypes="1" minDate="2025-06-19T00:00:00" maxDate="2025-12-17T00:00:00"/>
    </cacheField>
    <cacheField name="Yapılacak_x000a_İş Kapatma_x000a_Tarihi" numFmtId="0">
      <sharedItems containsNonDate="0" containsDate="1" containsString="0" containsBlank="1" minDate="2025-12-01T00:00:00" maxDate="2025-12-18T00:00:00"/>
    </cacheField>
    <cacheField name="Yapılacak_x000a_İş Sonucu" numFmtId="0">
      <sharedItems containsBlank="1" count="8">
        <s v="GEÇERSİZ ŞİKAYET"/>
        <s v="SÖZLÜ UYARI YARILDI"/>
        <s v="YAZILI UYARI YAPILDI"/>
        <s v="UYARILDI"/>
        <s v="GEÇERSİZ TEŞEKKÜR"/>
        <s v="GEÇERLİ TEŞEKKÜR"/>
        <s v="-"/>
        <m/>
      </sharedItems>
    </cacheField>
    <cacheField name="Fraud (Tele Satış)" numFmtId="0">
      <sharedItems containsBlank="1"/>
    </cacheField>
    <cacheField name="Kalite_x000a_Yetkilisi" numFmtId="0">
      <sharedItems containsBlank="1"/>
    </cacheField>
    <cacheField name="Kalite_x000a_Değerlendirmesi" numFmtId="0">
      <sharedItems containsBlank="1"/>
    </cacheField>
    <cacheField name="Mail_x000a_İletildi Mi?" numFmtId="0">
      <sharedItems containsBlank="1"/>
    </cacheField>
    <cacheField name="Çağrı_x000a_Skoru" numFmtId="0">
      <sharedItems containsBlank="1" containsMixedTypes="1" containsNumber="1" containsInteger="1" minValue="0" maxValue="100"/>
    </cacheField>
    <cacheField name="Şikayet_x000a_Oluşturma_x000a_Ayı" numFmtId="0">
      <sharedItems containsBlank="1"/>
    </cacheField>
    <cacheField name="Kaydı _x000a_Oluşturan_x000a_MT Agent ID" numFmtId="0">
      <sharedItems containsBlank="1" containsMixedTypes="1" containsNumber="1" containsInteger="1" minValue="110434" maxValue="600726"/>
    </cacheField>
    <cacheField name="Kaydı_x000a_Oluşturan_x000a_MT İsim Soyisim" numFmtId="0">
      <sharedItems containsBlank="1"/>
    </cacheField>
    <cacheField name="Kaydı_x000a_Oluşturan_x000a_MT Takım Lideri" numFmtId="0">
      <sharedItems containsBlank="1"/>
    </cacheField>
    <cacheField name="Kayıt_x000a_Oluşturan_x000a_MT Hatalı Mı?" numFmtId="0">
      <sharedItems containsBlank="1"/>
    </cacheField>
    <cacheField name="Hata Sebebi_x000a_Olan Durum Nedir?" numFmtId="0">
      <sharedItems containsBlank="1"/>
    </cacheField>
    <cacheField name="Şikayete Konu Olan_x000a_Kaç Çağrı Dinlemesi Yapıldı " numFmtId="0">
      <sharedItems containsBlank="1"/>
    </cacheField>
    <cacheField name="1. Çağrı Süresi " numFmtId="0">
      <sharedItems containsNonDate="0" containsString="0" containsBlank="1"/>
    </cacheField>
    <cacheField name="2. Çağrı Süresi 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s v="ÇAĞRI MERKEZİ"/>
    <s v="* 51845849181625"/>
    <n v="5514232692"/>
    <s v="BEDAŞ"/>
    <x v="0"/>
    <n v="500179"/>
    <s v="HANIFE UZUN"/>
    <s v="SAMET KOCABEYOGLU"/>
    <x v="0"/>
    <s v="MÜŞTERİ TEMSİLCİSİ"/>
    <s v="ARIZA"/>
    <x v="0"/>
    <x v="0"/>
    <d v="2025-12-01T00:00:00"/>
    <d v="2025-12-01T00:00:00"/>
    <x v="0"/>
    <s v="-"/>
    <s v="HALİDE PALAVAR"/>
    <s v="YAPILMADI"/>
    <s v="HAYIR"/>
    <s v="-"/>
    <s v="ARALIK"/>
    <n v="500081"/>
    <s v="BEYZA YAREN TUNCAY"/>
    <s v="SALTUK BUGRAHAN TAYMUS"/>
    <s v="HAYIR"/>
    <s v="HATASIZ ÇAĞRI"/>
    <m/>
    <m/>
    <m/>
  </r>
  <r>
    <s v="ÇAĞRI MERKEZİ"/>
    <s v="*74435738826854"/>
    <n v="5076271698"/>
    <s v="ÇEDAŞ"/>
    <x v="0"/>
    <n v="111220"/>
    <s v="MAHIZER BUKET AKBABA"/>
    <s v="SAFAK TOPTAS"/>
    <x v="1"/>
    <s v="MÜŞTERİ TEMSİLCİSİ"/>
    <s v="ARIZA"/>
    <x v="1"/>
    <x v="1"/>
    <d v="2025-12-03T00:00:00"/>
    <d v="2025-12-03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16193879313370"/>
    <n v="5383176934"/>
    <s v="BEDAŞ"/>
    <x v="0"/>
    <n v="500141"/>
    <s v="ZIHNI AKPINAR"/>
    <s v="SAMET KOCABEYOGLU"/>
    <x v="0"/>
    <s v="MÜŞTERİ TEMSİLCİSİ"/>
    <s v="ARIZA"/>
    <x v="2"/>
    <x v="2"/>
    <d v="2025-12-02T00:00:00"/>
    <d v="2025-12-03T00:00:00"/>
    <x v="1"/>
    <s v="-"/>
    <s v="HALİDE PALAVAR"/>
    <s v="YAPILDI"/>
    <s v="EVET"/>
    <n v="0"/>
    <s v="ARALIK"/>
    <n v="500153"/>
    <s v="ESRA YILMAZ"/>
    <s v="KURSAD TERCANLI"/>
    <s v="HAYIR"/>
    <s v="HATASIZ ÇAĞRI"/>
    <m/>
    <m/>
    <m/>
  </r>
  <r>
    <s v="ÇAĞRI MERKEZİ"/>
    <s v="*23115844499930"/>
    <n v="5536499902"/>
    <s v="AEDAŞ"/>
    <x v="0"/>
    <n v="500170"/>
    <s v="BURAK KAYA"/>
    <s v="ERDOGAN DURUK"/>
    <x v="0"/>
    <s v="MÜŞTERİ TEMSİLCİSİ"/>
    <s v="AYDINLATMA"/>
    <x v="0"/>
    <x v="3"/>
    <d v="2025-12-02T00:00:00"/>
    <d v="2025-12-03T00:00:00"/>
    <x v="0"/>
    <s v="-"/>
    <s v="RUKİYE DEMİRKALE"/>
    <s v="YAPILDI"/>
    <s v="EVET"/>
    <n v="0"/>
    <s v="ARALIK"/>
    <n v="500155"/>
    <s v="FATMA NUR EZGIN"/>
    <s v="KURSAD TERCANLI"/>
    <s v="EVET"/>
    <s v="HATALI / EKSİK BİLGİ VERME"/>
    <m/>
    <m/>
    <m/>
  </r>
  <r>
    <s v="ÇAĞRI MERKEZİ"/>
    <s v="* 61233088579921"/>
    <n v="5333533859"/>
    <s v="BEPSAŞ"/>
    <x v="1"/>
    <n v="600528"/>
    <s v="SERAP COSKUNARSLAN"/>
    <s v="GORKEM SERT"/>
    <x v="2"/>
    <s v="MÜŞTERİ TEMSİLCİSİ"/>
    <s v="FATURA İŞLEMLERİ"/>
    <x v="2"/>
    <x v="2"/>
    <d v="2025-12-02T00:00:00"/>
    <d v="2025-12-15T00:00:00"/>
    <x v="0"/>
    <s v="-"/>
    <s v="HALİDE PALAVAR"/>
    <s v="YAPILDI"/>
    <s v="HAYIR"/>
    <n v="100"/>
    <s v="ARALIK"/>
    <n v="111108"/>
    <s v="BERKAN COSKUNOZ"/>
    <s v="KURTHAN FERDI CIHANTIMUR"/>
    <s v="HAYIR"/>
    <s v="HATASIZ ÇAĞRI"/>
    <m/>
    <m/>
    <m/>
  </r>
  <r>
    <s v="ÇAĞRI MERKEZİ"/>
    <s v="* 91625930669158"/>
    <n v="5317348507"/>
    <s v="AEPSAŞ"/>
    <x v="1"/>
    <n v="600558"/>
    <s v="MELIKE TOPSOY"/>
    <s v="BUSRA OLCULMUS"/>
    <x v="2"/>
    <s v="MÜŞTERİ TEMSİLCİSİ"/>
    <s v="FATURA İŞLEMLERİ"/>
    <x v="0"/>
    <x v="4"/>
    <d v="2025-12-02T00:00:00"/>
    <d v="2025-12-04T00:00:00"/>
    <x v="0"/>
    <s v="-"/>
    <s v="HALİDE PALAVAR"/>
    <s v="YAPILDI"/>
    <s v="HAYIR"/>
    <n v="100"/>
    <s v="ARALIK"/>
    <n v="110707"/>
    <s v="MELISA YIGIT"/>
    <s v="MUHAMMET AKSU"/>
    <s v="EVET"/>
    <s v="HATALI / EKSİK BİLGİ VERME"/>
    <m/>
    <m/>
    <m/>
  </r>
  <r>
    <s v="ÇAĞRI MERKEZİ"/>
    <s v="*73941030689760"/>
    <n v="5339501821"/>
    <s v="BEDAŞ"/>
    <x v="0"/>
    <n v="600032"/>
    <s v="ASYA DAG"/>
    <s v="ASYA DAG"/>
    <x v="2"/>
    <s v="TAKIM LİDERİ"/>
    <s v="ARIZA"/>
    <x v="2"/>
    <x v="5"/>
    <d v="2025-12-03T00:00:00"/>
    <d v="2025-12-05T00:00:00"/>
    <x v="0"/>
    <s v="-"/>
    <s v="HALİDE PALAVAR"/>
    <s v="YAPILMADI"/>
    <s v="HAYIR"/>
    <s v="-"/>
    <s v="ARALIK"/>
    <n v="110707"/>
    <s v="MELISA YIGIT"/>
    <s v="MUHAMMET AKSU"/>
    <s v="KARS"/>
    <s v="MÜŞTERİ TEMSİLCİSİ"/>
    <m/>
    <m/>
    <m/>
  </r>
  <r>
    <s v="ÇAĞRI MERKEZİ"/>
    <s v="*50695329682690 -  53110455139033"/>
    <n v="5060215966"/>
    <s v="AEPSAŞ"/>
    <x v="1"/>
    <n v="110917"/>
    <s v="BERAT ACAY "/>
    <s v="YAPRAK KARAKOC"/>
    <x v="1"/>
    <s v="MÜŞTERİ TEMSİLCİSİ"/>
    <s v="FATURA İŞLEMLERİ"/>
    <x v="1"/>
    <x v="1"/>
    <d v="2025-12-03T00:00:00"/>
    <d v="2025-12-05T00:00:00"/>
    <x v="2"/>
    <s v="-"/>
    <s v="HALİDE PALAVAR"/>
    <s v="YAPILDI"/>
    <s v="EVET"/>
    <n v="0"/>
    <s v="ARALIK"/>
    <n v="110707"/>
    <s v="MELISA YIGIT"/>
    <s v="MUHAMMET AKSU"/>
    <s v="KARS"/>
    <s v="MÜŞTERİ TEMSİLCİSİ"/>
    <m/>
    <m/>
    <m/>
  </r>
  <r>
    <s v="ÇAĞRI MERKEZİ"/>
    <s v="* 41077155367913"/>
    <n v="5326705837"/>
    <s v="BEPSAŞ"/>
    <x v="1"/>
    <n v="111131"/>
    <s v="ASENA BANU SONKURT"/>
    <s v="YAPRAK KARAKOC"/>
    <x v="1"/>
    <s v="MÜŞTERİ TEMSİLCİSİ"/>
    <s v="MÜŞTERİ İŞLEMLERİ"/>
    <x v="1"/>
    <x v="6"/>
    <d v="2025-12-03T00:00:00"/>
    <d v="2025-12-05T00:00:00"/>
    <x v="0"/>
    <s v="-"/>
    <s v="HALİDE PALAVAR"/>
    <s v="YAPILDI"/>
    <s v="HAYIR"/>
    <n v="55"/>
    <s v="ARALIK"/>
    <n v="210162"/>
    <s v="FUNDA YAKISIR"/>
    <s v="YAPRAK KARAKOC"/>
    <s v="HAYIR"/>
    <s v="HATASIZ ÇAĞRI"/>
    <m/>
    <m/>
    <m/>
  </r>
  <r>
    <s v="ÇAĞRI MERKEZİ"/>
    <s v="* 41077155367913"/>
    <n v="5326705837"/>
    <s v="BEPSAŞ"/>
    <x v="1"/>
    <n v="111098"/>
    <s v="YETER DEMIRCI"/>
    <s v="CEYHAN AYRIC"/>
    <x v="1"/>
    <s v="MÜŞTERİ TEMSİLCİSİ"/>
    <s v="MÜŞTERİ İŞLEMLERİ"/>
    <x v="1"/>
    <x v="7"/>
    <d v="2025-12-03T00:00:00"/>
    <d v="2025-12-05T00:00:00"/>
    <x v="0"/>
    <s v="-"/>
    <s v="HALİDE PALAVAR"/>
    <s v="YAPILDI"/>
    <s v="EVET"/>
    <n v="0"/>
    <s v="ARALIK"/>
    <m/>
    <s v="---"/>
    <s v="---"/>
    <m/>
    <m/>
    <m/>
    <m/>
    <m/>
  </r>
  <r>
    <s v="ÇAĞRI MERKEZİ"/>
    <s v="*50785633953374"/>
    <n v="5449182443"/>
    <s v="BEDAŞ"/>
    <x v="0"/>
    <n v="500164"/>
    <s v="MUHAMMET TALHA BERKAY TERCANLI"/>
    <s v="KURSAD TERCANLI"/>
    <x v="0"/>
    <s v="MÜŞTERİ TEMSİLCİSİ"/>
    <s v="GENEL TALEPLER"/>
    <x v="1"/>
    <x v="8"/>
    <d v="2025-12-01T00:00:00"/>
    <d v="2025-12-02T00:00:00"/>
    <x v="0"/>
    <s v="-"/>
    <s v="ŞEYMANUR ÇEVİK"/>
    <s v="YAPILMADI"/>
    <s v="HAYIR"/>
    <s v="-"/>
    <s v="ARALIK"/>
    <n v="111192"/>
    <s v="RABIA TEMUR"/>
    <s v="MUSTAFA OZAYAG"/>
    <s v="HAYIR"/>
    <s v="HATASIZ ÇAĞRI"/>
    <m/>
    <m/>
    <m/>
  </r>
  <r>
    <s v="ÇAĞRI MERKEZİ"/>
    <s v="*64468646961494"/>
    <n v="5301327734"/>
    <s v="BEDAŞ"/>
    <x v="0"/>
    <n v="500025"/>
    <s v="METEHAN EMRE SIRMALI"/>
    <s v="METEHAN EMRE SIRMALI"/>
    <x v="0"/>
    <s v="TAKIM LIDERI"/>
    <s v="ARIZA"/>
    <x v="2"/>
    <x v="9"/>
    <d v="2025-12-02T00:00:00"/>
    <d v="2025-12-02T00:00:00"/>
    <x v="0"/>
    <s v="-"/>
    <s v="ŞEYMANUR ÇEVİK"/>
    <s v="YAPILMADI"/>
    <s v="HAYIR"/>
    <s v="-"/>
    <s v="ARALIK"/>
    <n v="500107"/>
    <s v="MERVENUR CELIK"/>
    <s v="METEHAN EMRE SIRMALI"/>
    <s v="HAYIR"/>
    <s v="HATASIZ ÇAĞRI"/>
    <m/>
    <m/>
    <m/>
  </r>
  <r>
    <s v="ÇAĞRI MERKEZİ"/>
    <s v="*52922832646944"/>
    <n v="5056692737"/>
    <s v="BEDAŞ"/>
    <x v="0"/>
    <n v="111049"/>
    <s v="BUSRA YILDIRIM"/>
    <s v="YAREN OZAYAG"/>
    <x v="1"/>
    <s v="MÜŞTERİ TEMSİLCİSİ"/>
    <s v="AYDINLATMA"/>
    <x v="0"/>
    <x v="3"/>
    <d v="2025-12-02T00:00:00"/>
    <d v="2025-12-02T00:00:00"/>
    <x v="0"/>
    <s v="-"/>
    <s v="ŞEYMANUR ÇEVİK"/>
    <s v="YAPILDI"/>
    <s v="HAYIR"/>
    <n v="100"/>
    <s v="ARALIK"/>
    <n v="500083"/>
    <s v="SEDANUR ARSLAN"/>
    <s v="SALTUK BUGRAHAN TAYMUS"/>
    <s v="HAYIR"/>
    <s v="HATASIZ ÇAĞRI"/>
    <m/>
    <m/>
    <m/>
  </r>
  <r>
    <s v="ÇAĞRI MERKEZİ"/>
    <s v="*08792139248286 "/>
    <n v="5010881907"/>
    <s v="BEDAŞ"/>
    <x v="0"/>
    <n v="600189"/>
    <s v="MEHMET ALI SAVAN"/>
    <s v="MEHMET ALI SAVAN"/>
    <x v="0"/>
    <s v="TAKIM LIDERI"/>
    <s v="MÜŞTERİ HİZMETLERİ"/>
    <x v="2"/>
    <x v="9"/>
    <d v="2025-12-02T00:00:00"/>
    <d v="2025-12-02T00:00:00"/>
    <x v="0"/>
    <s v="-"/>
    <s v="ŞEYMANUR ÇEVİK"/>
    <s v="YAPILMADI"/>
    <s v="HAYIR"/>
    <s v="-"/>
    <s v="ARALIK"/>
    <n v="500049"/>
    <s v="FERHAT ATICI"/>
    <s v="MEHMET ALI SAVAN"/>
    <s v="HAYIR"/>
    <s v="HATASIZ ÇAĞRI"/>
    <m/>
    <m/>
    <m/>
  </r>
  <r>
    <s v="ÇAĞRI MERKEZİ"/>
    <s v="*41276545567359"/>
    <n v="5010881907"/>
    <s v="BEDAŞ"/>
    <x v="0"/>
    <n v="500065"/>
    <s v="BATUHAN GULER"/>
    <s v="SALTUK BUGRAHAN TAYMUS"/>
    <x v="0"/>
    <s v="MÜŞTERİ TEMSİLCİSİ"/>
    <s v="MÜŞTERİ HİZMETLERİ"/>
    <x v="2"/>
    <x v="9"/>
    <d v="2025-12-02T00:00:00"/>
    <d v="2025-12-02T00:00:00"/>
    <x v="1"/>
    <s v="-"/>
    <s v="ŞEYMANUR ÇEVİK"/>
    <s v="YAPILDI"/>
    <s v="EVET"/>
    <n v="0"/>
    <s v="ARALIK"/>
    <n v="500049"/>
    <s v="FERHAT ATICI"/>
    <s v="MEHMET ALI SAVAN"/>
    <s v="HAYIR"/>
    <s v="HATASIZ ÇAĞRI"/>
    <m/>
    <m/>
    <m/>
  </r>
  <r>
    <s v="ÇAĞRI MERKEZİ"/>
    <s v="* 41077155367913"/>
    <n v="5326705837"/>
    <s v="BEPSAŞ"/>
    <x v="1"/>
    <n v="600657"/>
    <s v="SEHER ERCAN"/>
    <s v="FERHAT DEMIR"/>
    <x v="2"/>
    <s v="MÜŞTERİ TEMSİLCİSİ"/>
    <s v="MÜŞTERİ HİZMETLERİ"/>
    <x v="2"/>
    <x v="5"/>
    <d v="2025-12-03T00:00:00"/>
    <d v="2025-12-08T00:00:00"/>
    <x v="0"/>
    <s v="-"/>
    <s v="HALİDE PALAVAR"/>
    <s v="YAPILDI"/>
    <s v="HAYIR"/>
    <n v="90"/>
    <s v="ARALIK"/>
    <n v="210162"/>
    <s v="FUNDA YAKISIR"/>
    <s v="YAPRAK KARAKOC"/>
    <s v="HAYIR"/>
    <s v="HATASIZ ÇAĞRI"/>
    <m/>
    <m/>
    <m/>
  </r>
  <r>
    <s v="ÇAĞRI MERKEZİ"/>
    <s v="*82256775727712"/>
    <n v="5300869157"/>
    <s v="BEDAŞ"/>
    <x v="0"/>
    <n v="111197"/>
    <s v="SONGUL YAGCI"/>
    <s v="SEDA SEBU"/>
    <x v="1"/>
    <s v="MÜŞTERİ TEMSİLCİSİ"/>
    <s v="ARIZA"/>
    <x v="0"/>
    <x v="0"/>
    <d v="2025-12-05T00:00:00"/>
    <d v="2025-12-08T00:00:00"/>
    <x v="0"/>
    <s v="-"/>
    <s v="HALİDE PALAVAR"/>
    <s v="YAPILDI"/>
    <s v="HAYIR"/>
    <m/>
    <s v="ARALIK"/>
    <n v="500167"/>
    <s v="NEVA OZMEN"/>
    <s v="KURSAD TERCANLI"/>
    <s v="HAYIR"/>
    <s v="HATASIZ ÇAĞRI"/>
    <m/>
    <m/>
    <m/>
  </r>
  <r>
    <s v="ÇAĞRI MERKEZİ"/>
    <s v="*82256775727712"/>
    <n v="5300869157"/>
    <s v="BEDAŞ"/>
    <x v="0"/>
    <n v="111199"/>
    <s v="UMMUGULSUM BEKI"/>
    <s v="MUHAMMET AKSU"/>
    <x v="1"/>
    <s v="MÜŞTERİ TEMSİLCİSİ"/>
    <s v="ARIZA"/>
    <x v="0"/>
    <x v="0"/>
    <d v="2025-12-05T00:00:00"/>
    <d v="2025-12-08T00:00:00"/>
    <x v="3"/>
    <s v="-"/>
    <s v="HALİDE PALAVAR"/>
    <s v="YAPILDI"/>
    <s v="EVET"/>
    <n v="0"/>
    <s v="ARALIK"/>
    <m/>
    <s v="---"/>
    <s v="---"/>
    <m/>
    <m/>
    <m/>
    <m/>
    <m/>
  </r>
  <r>
    <s v="ÇAĞRI MERKEZİ"/>
    <s v="* 06692573271774"/>
    <n v="5530630004"/>
    <s v="BEDAŞ"/>
    <x v="0"/>
    <n v="600189"/>
    <s v="MEHMET ALI SAVAN "/>
    <s v="MEHMET ALI SAVAN "/>
    <x v="0"/>
    <s v="TAKIM LİDERİ"/>
    <s v="ARIZA"/>
    <x v="2"/>
    <x v="9"/>
    <d v="2025-12-07T00:00:00"/>
    <d v="2025-12-08T00:00:00"/>
    <x v="3"/>
    <s v="-"/>
    <s v="HALİDE PALAVAR"/>
    <s v="YAPILMADI"/>
    <s v="HAYIR"/>
    <s v="-"/>
    <s v="ARALIK"/>
    <n v="110471"/>
    <s v="TUGBA DEMIR"/>
    <s v="ERCUMENT GUNESSU"/>
    <s v="HAYIR"/>
    <s v="HATASIZ ÇAĞRI"/>
    <m/>
    <m/>
    <m/>
  </r>
  <r>
    <s v="ÇAĞRI MERKEZİ"/>
    <s v="* 29588671274849"/>
    <n v="5437876246"/>
    <s v="BEDAŞ"/>
    <x v="0"/>
    <n v="500132"/>
    <s v="SONGUL BEKCI"/>
    <s v="TURGUT AKDAG"/>
    <x v="0"/>
    <s v="MÜŞTERİ TEMSİLCİSİ"/>
    <s v="GENEL TALEPLER"/>
    <x v="1"/>
    <x v="7"/>
    <d v="2025-12-06T00:00:00"/>
    <d v="2025-12-08T00:00:00"/>
    <x v="0"/>
    <s v="-"/>
    <s v="HALİDE PALAVAR"/>
    <s v="YAPILMADI"/>
    <s v="HAYIR"/>
    <s v="-"/>
    <s v="ARALIK"/>
    <n v="500131"/>
    <s v="SIBEL ATES"/>
    <s v="TURGUT AKDAG"/>
    <s v="HAYIR"/>
    <s v="HATASIZ ÇAĞRI"/>
    <m/>
    <m/>
    <m/>
  </r>
  <r>
    <s v="ÇAĞRI MERKEZİ"/>
    <s v="* 29588671274849"/>
    <n v="5437876246"/>
    <s v="BEDAŞ"/>
    <x v="0"/>
    <n v="500145"/>
    <s v="BELMA ONAL"/>
    <s v="KURSAD TERCANLI"/>
    <x v="0"/>
    <s v="MÜŞTERİ TEMSİLCİSİ"/>
    <s v="GENEL TALEPLER"/>
    <x v="1"/>
    <x v="7"/>
    <d v="2025-12-06T00:00:00"/>
    <d v="2025-12-08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 29588671274849"/>
    <n v="5437876246"/>
    <s v="BEDAŞ"/>
    <x v="0"/>
    <n v="500186"/>
    <s v="MUHAMMET TALHA ATAY"/>
    <s v="TURGUT AKDAG"/>
    <x v="0"/>
    <s v="MÜŞTERİ TEMSİLCİSİ"/>
    <s v="ARIZA"/>
    <x v="1"/>
    <x v="7"/>
    <d v="2025-12-06T00:00:00"/>
    <d v="2025-12-08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80569015951776"/>
    <n v="5451348223"/>
    <s v="BEDAŞ"/>
    <x v="0"/>
    <n v="600611"/>
    <s v="ZEYNEP KOC"/>
    <s v="FERHAT DEMIR"/>
    <x v="2"/>
    <s v="MÜŞTERİ TEMSİLCİSİ"/>
    <s v="AYDINLATMA"/>
    <x v="1"/>
    <x v="1"/>
    <d v="2025-12-06T00:00:00"/>
    <d v="2025-12-08T00:00:00"/>
    <x v="0"/>
    <s v="-"/>
    <s v="HALİDE PALAVAR"/>
    <s v="YAPILDI"/>
    <s v="HAYIR"/>
    <n v="90"/>
    <s v="ARALIK"/>
    <m/>
    <s v="---"/>
    <s v="---"/>
    <m/>
    <m/>
    <m/>
    <m/>
    <m/>
  </r>
  <r>
    <s v="ÇAĞRI MERKEZİ"/>
    <s v="*68159114921115"/>
    <n v="5323228156"/>
    <s v="BEDAŞ"/>
    <x v="0"/>
    <n v="500071"/>
    <s v="IREM GOKÇE KATRANLI"/>
    <s v="SALTUK BUGRAHAN TAYMUS"/>
    <x v="0"/>
    <s v="MÜŞTERİ TEMSİLCİSİ"/>
    <s v="GENEL TALEPLER"/>
    <x v="1"/>
    <x v="7"/>
    <d v="2025-12-06T00:00:00"/>
    <d v="2025-12-08T00:00:00"/>
    <x v="0"/>
    <s v="-"/>
    <s v="HALİDE PALAVAR"/>
    <s v="YAPILMADI"/>
    <s v="HAYIR"/>
    <s v="-"/>
    <s v="ARALIK"/>
    <n v="111232"/>
    <s v="HASAN FURKAN ASLAN"/>
    <s v="SAFAK TOPTAS"/>
    <s v="HAYIR"/>
    <s v="HATASIZ ÇAĞRI"/>
    <m/>
    <m/>
    <m/>
  </r>
  <r>
    <s v="ÇAĞRI MERKEZİ"/>
    <s v="*18106198896754"/>
    <n v="5053843964"/>
    <s v="BEDAŞ"/>
    <x v="0"/>
    <n v="500049"/>
    <s v="FERHAT ATICI"/>
    <s v="MEHMET ALI SAVAN"/>
    <x v="0"/>
    <s v="MÜŞTERİ TEMSİLCİSİ"/>
    <s v="AYDINLATMA"/>
    <x v="3"/>
    <x v="10"/>
    <d v="2025-12-07T00:00:00"/>
    <d v="2025-12-08T00:00:00"/>
    <x v="4"/>
    <s v="-"/>
    <s v="HALİDE PALAVAR"/>
    <s v="YAPILDI"/>
    <s v="HAYIR"/>
    <n v="83"/>
    <s v="ARALIK"/>
    <m/>
    <s v="---"/>
    <s v="---"/>
    <m/>
    <m/>
    <m/>
    <m/>
    <m/>
  </r>
  <r>
    <s v="ÇAĞRI MERKEZİ"/>
    <s v="*34361350757979"/>
    <n v="5459063289"/>
    <s v="BEDAŞ"/>
    <x v="0"/>
    <n v="111241"/>
    <s v="GURKAN KILDIS"/>
    <s v="YAPRAK KARAKOC"/>
    <x v="1"/>
    <s v="MÜŞTERİ TEMSİLCİSİ"/>
    <s v="GENEL TALEPLER"/>
    <x v="1"/>
    <x v="7"/>
    <d v="2025-12-07T00:00:00"/>
    <d v="2025-12-08T00:00:00"/>
    <x v="0"/>
    <s v="-"/>
    <s v="HALİDE PALAVAR"/>
    <s v="YAPILMADI"/>
    <s v="HAYIR"/>
    <s v="-"/>
    <s v="ARALIK"/>
    <n v="111243"/>
    <s v="FATMA SENA SEFEROGLU"/>
    <s v="SAFAK TOPTAS"/>
    <s v="HAYIR"/>
    <s v="HATASIZ ÇAĞRI"/>
    <m/>
    <m/>
    <m/>
  </r>
  <r>
    <s v="ÇAĞRI MERKEZİ"/>
    <s v="*60636296490951"/>
    <n v="5348736898"/>
    <s v="BEDAŞ"/>
    <x v="0"/>
    <n v="110742"/>
    <s v="HANDE KOC"/>
    <s v="YAPRAK KARAKOC"/>
    <x v="1"/>
    <s v="MÜŞTERİ TEMSİLCİSİ"/>
    <s v="ARIZA"/>
    <x v="0"/>
    <x v="0"/>
    <d v="2025-12-07T00:00:00"/>
    <d v="2025-12-08T00:00:00"/>
    <x v="0"/>
    <s v="-"/>
    <s v="HALİDE PALAVAR"/>
    <s v="YAPILDI"/>
    <s v="EVET"/>
    <n v="0"/>
    <s v="ARALIK"/>
    <n v="500048"/>
    <s v="FATMA NUR TASBASI"/>
    <s v="MEHMET ALI SAVAN"/>
    <s v="HAYIR"/>
    <s v="HATASIZ ÇAĞRI"/>
    <m/>
    <m/>
    <m/>
  </r>
  <r>
    <s v="ÇAĞRI MERKEZİ"/>
    <s v="* 32179803957511"/>
    <n v="5331525050"/>
    <s v="BEDAŞ"/>
    <x v="0"/>
    <n v="600617"/>
    <s v="ELMAS  AKSOY"/>
    <s v="İNAN UMUT ÖRNEK "/>
    <x v="2"/>
    <s v="MÜŞTERİ TEMSİLCİSİ"/>
    <s v="ARIZA"/>
    <x v="0"/>
    <x v="0"/>
    <d v="2025-12-07T00:00:00"/>
    <d v="2025-12-08T00:00:00"/>
    <x v="0"/>
    <s v="-"/>
    <s v="HALİDE PALAVAR"/>
    <s v="YAPILDI"/>
    <s v="HAYIR"/>
    <n v="100"/>
    <s v="ARALIK"/>
    <n v="111123"/>
    <s v="OZNUR KIRTAY"/>
    <s v="SEDA SEBU"/>
    <s v="HAYIR"/>
    <s v="HATASIZ ÇAĞRI"/>
    <m/>
    <m/>
    <m/>
  </r>
  <r>
    <s v="ÇAĞRI MERKEZİ"/>
    <s v="* 32179803957511"/>
    <n v="5331525050"/>
    <s v="BEDAŞ"/>
    <x v="0"/>
    <n v="600524"/>
    <s v="MELIKE NAZIK SAHIN"/>
    <s v="FERHAT DEMIR"/>
    <x v="2"/>
    <s v="TAKIM LİDERİ"/>
    <s v="ARIZA"/>
    <x v="0"/>
    <x v="0"/>
    <d v="2025-12-07T00:00:00"/>
    <d v="2025-12-08T00:00:00"/>
    <x v="1"/>
    <s v="-"/>
    <s v="HALİDE PALAVAR"/>
    <s v="YAPILDI"/>
    <s v="EVET"/>
    <n v="0"/>
    <s v="ARALIK"/>
    <m/>
    <s v="---"/>
    <s v="---"/>
    <m/>
    <m/>
    <m/>
    <m/>
    <m/>
  </r>
  <r>
    <s v="ÇAĞRI MERKEZİ"/>
    <s v="* 32179803957511"/>
    <n v="5331525050"/>
    <s v="BEDAŞ"/>
    <x v="0"/>
    <n v="210169"/>
    <s v="NAIM UREYIL"/>
    <s v="SAFAK TOPTAS"/>
    <x v="1"/>
    <s v="MÜŞTERİ TEMSİLCİSİ"/>
    <s v="ARIZA"/>
    <x v="0"/>
    <x v="0"/>
    <d v="2025-12-07T00:00:00"/>
    <d v="2025-12-08T00:00:00"/>
    <x v="1"/>
    <s v="-"/>
    <s v="HALİDE PALAVAR"/>
    <s v="YAPILDI"/>
    <s v="EVET"/>
    <n v="0"/>
    <s v="ARALIK"/>
    <m/>
    <s v="---"/>
    <s v="---"/>
    <m/>
    <m/>
    <m/>
    <m/>
    <m/>
  </r>
  <r>
    <s v="ÇAĞRI MERKEZİ"/>
    <s v="* 32179803957511"/>
    <n v="5331525050"/>
    <s v="BEDAŞ"/>
    <x v="0"/>
    <n v="210373"/>
    <s v="MEHTAP KIRTAY"/>
    <s v="MUSTAFA OZAYAG"/>
    <x v="1"/>
    <s v="MÜŞTERİ TEMSİLCİSİ"/>
    <s v="ARIZA"/>
    <x v="0"/>
    <x v="0"/>
    <d v="2025-12-07T00:00:00"/>
    <d v="2025-12-08T00:00:00"/>
    <x v="0"/>
    <s v="-"/>
    <s v="HALİDE PALAVAR"/>
    <s v="YAPILDI"/>
    <s v="HAYIR"/>
    <n v="100"/>
    <s v="ARALIK"/>
    <m/>
    <s v="---"/>
    <s v="---"/>
    <m/>
    <m/>
    <m/>
    <m/>
    <m/>
  </r>
  <r>
    <s v="ÇAĞRI MERKEZİ"/>
    <s v="*82245115182129"/>
    <n v="5466354881"/>
    <s v="BEDAŞ"/>
    <x v="0"/>
    <n v="110852"/>
    <s v="UGURCAN ALTUNTERIM"/>
    <s v="SEDA SEBU"/>
    <x v="1"/>
    <s v="MÜŞTERİ TEMSİLCİSİ"/>
    <s v="ARIZA"/>
    <x v="0"/>
    <x v="0"/>
    <d v="2025-12-07T00:00:00"/>
    <d v="2025-12-08T00:00:00"/>
    <x v="3"/>
    <s v="-"/>
    <s v="HALİDE PALAVAR"/>
    <s v="YAPILDI"/>
    <s v="HAYIR"/>
    <n v="75"/>
    <s v="ARALIK"/>
    <n v="600468"/>
    <s v="FATMA NUR SAHIN"/>
    <s v="İNAN UMUT ÖRNEK "/>
    <s v="HAYIR"/>
    <s v="HATASIZ ÇAĞRI"/>
    <m/>
    <m/>
    <m/>
  </r>
  <r>
    <s v="ÇAĞRI MERKEZİ"/>
    <s v="*82245115182129"/>
    <n v="5466354881"/>
    <s v="BEDAŞ"/>
    <x v="0"/>
    <n v="110484"/>
    <s v="BIRAN ZAKKUM IVAK"/>
    <s v="YAREN OZAYAG"/>
    <x v="1"/>
    <s v="MÜŞTERİ TEMSİLCİSİ"/>
    <s v="ARIZA"/>
    <x v="0"/>
    <x v="0"/>
    <d v="2025-12-07T00:00:00"/>
    <d v="2025-12-08T00:00:00"/>
    <x v="3"/>
    <s v="-"/>
    <s v="HALİDE PALAVAR"/>
    <s v="YAPILDI"/>
    <s v="HAYIR"/>
    <n v="75"/>
    <s v="ARALIK"/>
    <m/>
    <s v="---"/>
    <s v="---"/>
    <m/>
    <m/>
    <m/>
    <m/>
    <m/>
  </r>
  <r>
    <s v="ÇAĞRI MERKEZİ"/>
    <s v="* 10587420598190"/>
    <n v="5437723109"/>
    <s v="ÇEDAŞ"/>
    <x v="0"/>
    <n v="110539"/>
    <s v="TAYLAN OZGUR DURMUS"/>
    <s v="YAREN OZAYAG"/>
    <x v="1"/>
    <s v="MÜŞTERİ TEMSİLCİSİ"/>
    <s v="ARIZA"/>
    <x v="1"/>
    <x v="1"/>
    <d v="2025-12-05T00:00:00"/>
    <d v="2025-12-09T00:00:00"/>
    <x v="2"/>
    <s v="-"/>
    <s v="HALİDE PALAVAR"/>
    <s v="YAPILDI"/>
    <s v="EVET"/>
    <n v="0"/>
    <s v="ARALIK"/>
    <n v="111239"/>
    <s v="HIRANUR KALKAN"/>
    <s v="SEVCAN BULUT"/>
    <s v="HAYIR"/>
    <s v="HATASIZ ÇAĞRI"/>
    <m/>
    <m/>
    <m/>
  </r>
  <r>
    <s v="ÇAĞRI MERKEZİ"/>
    <s v="* 10587420598190"/>
    <n v="5437723109"/>
    <s v="ÇEDAŞ"/>
    <x v="0"/>
    <n v="111252"/>
    <s v="BARAN KOYUNCU"/>
    <s v="YAREN OZAYAG"/>
    <x v="1"/>
    <s v="MÜŞTERİ TEMSİLCİSİ"/>
    <s v="ARIZA"/>
    <x v="1"/>
    <x v="1"/>
    <d v="2025-12-05T00:00:00"/>
    <d v="2025-12-09T00:00:00"/>
    <x v="3"/>
    <s v="-"/>
    <s v="HALİDE PALAVAR"/>
    <s v="YAPILDI"/>
    <s v="HAYIR"/>
    <n v="41"/>
    <s v="ARALIK"/>
    <m/>
    <s v="---"/>
    <s v="---"/>
    <m/>
    <m/>
    <m/>
    <m/>
    <m/>
  </r>
  <r>
    <s v="ÇAĞRI MERKEZİ"/>
    <s v="* 98692030062890"/>
    <n v="5312590105"/>
    <s v="ÇEDAŞ"/>
    <x v="0"/>
    <n v="111182"/>
    <s v="DIDEM KENCU"/>
    <s v="SEVCAN BULUT"/>
    <x v="1"/>
    <s v="MÜŞTERİ TEMSİLCİSİ"/>
    <s v="ARIZA"/>
    <x v="0"/>
    <x v="0"/>
    <d v="2025-12-05T00:00:00"/>
    <d v="2025-12-09T00:00:00"/>
    <x v="0"/>
    <s v="-"/>
    <s v="HALİDE PALAVAR"/>
    <s v="YAPILDI"/>
    <s v="EVET"/>
    <n v="0"/>
    <s v="ARALIK"/>
    <n v="111239"/>
    <s v="HIRANUR KALKAN"/>
    <s v="SEVCAN BULUT"/>
    <s v="HAYIR"/>
    <s v="HATASIZ ÇAĞRI"/>
    <m/>
    <m/>
    <m/>
  </r>
  <r>
    <s v="ÇAĞRI MERKEZİ"/>
    <s v="*83686419794734"/>
    <n v="5522316019"/>
    <s v="ÇEDAŞ"/>
    <x v="0"/>
    <n v="110486"/>
    <s v="BUKET CANSU BEKTEMUR"/>
    <s v="SAFAK TOPTAS"/>
    <x v="1"/>
    <s v="MÜŞTERİ TEMSİLCİSİ"/>
    <s v="ARIZA"/>
    <x v="3"/>
    <x v="10"/>
    <d v="2025-12-07T00:00:00"/>
    <d v="2025-12-09T00:00:00"/>
    <x v="5"/>
    <s v="-"/>
    <s v="HALİDE PALAVAR"/>
    <s v="YAPILDI"/>
    <s v="HAYIR"/>
    <n v="100"/>
    <s v="ARALIK"/>
    <m/>
    <s v="---"/>
    <s v="---"/>
    <m/>
    <m/>
    <m/>
    <m/>
    <m/>
  </r>
  <r>
    <s v="ÇAĞRI MERKEZİ"/>
    <s v="*34297522472992"/>
    <n v="5456722250"/>
    <s v="BEDAŞ"/>
    <x v="0"/>
    <n v="500049"/>
    <s v="FERHAT ATICI"/>
    <s v="MEHMET ALI SAVAN"/>
    <x v="0"/>
    <s v="MÜŞTERİ TEMSİLCİSİ"/>
    <s v="GENEL TALEPLER"/>
    <x v="1"/>
    <x v="7"/>
    <d v="2025-12-08T00:00:00"/>
    <d v="2025-12-09T00:00:00"/>
    <x v="3"/>
    <s v="-"/>
    <s v="HALİDE PALAVAR"/>
    <s v="YAPILMADI"/>
    <s v="HAYIR"/>
    <s v="-"/>
    <s v="ARALIK"/>
    <n v="600593"/>
    <s v="FATIH MERCAN"/>
    <s v="İNAN UMUT ÖRNEK "/>
    <s v="HAYIR"/>
    <s v="HATASIZ ÇAĞRI"/>
    <m/>
    <m/>
    <m/>
  </r>
  <r>
    <s v="ÇAĞRI MERKEZİ"/>
    <s v="* 56198053727377"/>
    <n v="5334803838"/>
    <s v="AEDAŞ"/>
    <x v="0"/>
    <n v="111241"/>
    <s v="GURKAN KILDIS"/>
    <s v="YAPRAK KARAKOC"/>
    <x v="1"/>
    <s v="MÜŞTERİ TEMSİLCİSİ"/>
    <s v="ARIZA"/>
    <x v="3"/>
    <x v="10"/>
    <d v="2025-12-05T00:00:00"/>
    <d v="2025-12-09T00:00:00"/>
    <x v="5"/>
    <s v="-"/>
    <s v="HALİDE PALAVAR"/>
    <s v="YAPILDI"/>
    <s v="HAYIR"/>
    <n v="90"/>
    <s v="ARALIK"/>
    <n v="500109"/>
    <s v="MUHAMMET EMIN AKSAKAL"/>
    <s v="METEHAN EMRE SIRMALI"/>
    <s v="HAYIR"/>
    <s v="HATASIZ ÇAĞRI"/>
    <m/>
    <m/>
    <m/>
  </r>
  <r>
    <s v="ÇAĞRI MERKEZİ"/>
    <s v="*22144223336582"/>
    <n v="5330921482"/>
    <s v="BEDAŞ"/>
    <x v="0"/>
    <n v="111241"/>
    <s v="GURKAN KILDIS"/>
    <s v="YAPRAK KARAKOC"/>
    <x v="1"/>
    <s v="MÜŞTERİ TEMSİLCİSİ"/>
    <s v="KAÇAK"/>
    <x v="0"/>
    <x v="11"/>
    <d v="2025-12-08T00:00:00"/>
    <d v="2025-12-09T00:00:00"/>
    <x v="0"/>
    <s v="-"/>
    <s v="HALİDE PALAVAR"/>
    <s v="YAPILDI"/>
    <s v="HAYIR"/>
    <n v="90"/>
    <s v="ARALIK"/>
    <n v="500141"/>
    <s v="ZIHNI AKPINAR"/>
    <s v="SAMET KOCABEYOGLU"/>
    <s v="EVET"/>
    <s v="HATALI / EKSİK BİLGİ VERME"/>
    <m/>
    <m/>
    <m/>
  </r>
  <r>
    <s v="ÇAĞRI MERKEZİ"/>
    <s v="*26282504078095 -32919914608478"/>
    <n v="5330921482"/>
    <s v="BEDAŞ"/>
    <x v="0"/>
    <n v="600409"/>
    <s v="OZNIL SENEFE"/>
    <s v="İNAN UMUT ÖRNEK "/>
    <x v="2"/>
    <s v="MÜŞTERİ TEMSİLCİSİ"/>
    <s v="KAÇAK"/>
    <x v="0"/>
    <x v="11"/>
    <d v="2025-12-05T00:00:00"/>
    <d v="2025-12-09T00:00:00"/>
    <x v="0"/>
    <s v="-"/>
    <s v="HALİDE PALAVAR"/>
    <s v="YAPILDI"/>
    <s v="HAYIR"/>
    <n v="60"/>
    <s v="ARALIK"/>
    <m/>
    <s v="---"/>
    <s v="---"/>
    <m/>
    <m/>
    <m/>
    <m/>
    <m/>
  </r>
  <r>
    <s v="ÇAĞRI MERKEZİ"/>
    <s v="* 58892436185815"/>
    <n v="5454583916"/>
    <s v="BEDAŞ"/>
    <x v="0"/>
    <n v="500148"/>
    <s v="DUYGU SAKAR"/>
    <s v="KURSAD TERCANLI"/>
    <x v="0"/>
    <s v="MÜŞTERİ TEMSİLCİSİ"/>
    <s v="ARIZA"/>
    <x v="2"/>
    <x v="5"/>
    <d v="2025-12-08T00:00:00"/>
    <d v="2025-12-09T00:00:00"/>
    <x v="0"/>
    <s v="-"/>
    <s v="HALİDE PALAVAR"/>
    <s v="YAPILDI"/>
    <s v="EVET"/>
    <n v="0"/>
    <s v="ARALIK"/>
    <m/>
    <s v="---"/>
    <s v="---"/>
    <m/>
    <m/>
    <m/>
    <m/>
    <m/>
  </r>
  <r>
    <s v="ÇAĞRI MERKEZİ"/>
    <s v="* 90293565353788"/>
    <n v="5533694165"/>
    <s v="ÇEDAŞ"/>
    <x v="0"/>
    <n v="111243"/>
    <s v="FATMA SENA SEFEROGLU"/>
    <s v="SAFAK TOPTAS"/>
    <x v="1"/>
    <s v="MÜŞTERİ TEMSİLCİSİ"/>
    <s v="İŞLETME TALEPLERİ"/>
    <x v="2"/>
    <x v="2"/>
    <d v="2025-12-09T00:00:00"/>
    <d v="2025-12-09T00:00:00"/>
    <x v="0"/>
    <s v="-"/>
    <s v="HALİDE PALAVAR"/>
    <s v="YAPILDI"/>
    <s v="HAYIR"/>
    <n v="90"/>
    <s v="ARALIK"/>
    <m/>
    <s v="---"/>
    <s v="---"/>
    <m/>
    <m/>
    <m/>
    <m/>
    <m/>
  </r>
  <r>
    <s v="ÇAĞRI MERKEZİ"/>
    <s v="* 91816562266225"/>
    <n v="5345738221"/>
    <s v="BEDAŞ"/>
    <x v="0"/>
    <n v="600655"/>
    <s v="OYKU CARDAKLI"/>
    <s v="İNAN UMUT ÖRNEK "/>
    <x v="2"/>
    <s v="MÜŞTERİ TEMSİLCİSİ"/>
    <s v="KAÇAK"/>
    <x v="2"/>
    <x v="2"/>
    <d v="2025-12-09T00:00:00"/>
    <d v="2025-12-09T00:00:00"/>
    <x v="1"/>
    <s v="-"/>
    <s v="HALİDE PALAVAR"/>
    <s v="YAPILDI"/>
    <s v="EVET"/>
    <n v="0"/>
    <s v="ARALIK"/>
    <n v="500109"/>
    <s v="MUHAMMET EMIN AKSAKAL"/>
    <s v="METEHAN EMRE SIRMALI"/>
    <s v="HAYIR"/>
    <s v="HATASIZ ÇAĞRI"/>
    <m/>
    <m/>
    <m/>
  </r>
  <r>
    <s v="ÇAĞRI MERKEZİ"/>
    <s v="*34547570376662 - 73475250706034"/>
    <n v="5333780214"/>
    <s v="BEDAŞ"/>
    <x v="0"/>
    <n v="111240"/>
    <s v="BERAT KILICARSLAN"/>
    <s v="YAPRAK KARAKOC"/>
    <x v="1"/>
    <s v="MÜŞTERİ TEMSİLCİSİ"/>
    <s v="ARIZA"/>
    <x v="2"/>
    <x v="5"/>
    <d v="2025-12-09T00:00:00"/>
    <d v="2025-12-09T00:00:00"/>
    <x v="0"/>
    <s v="-"/>
    <s v="HALİDE PALAVAR"/>
    <s v="YAPILDI"/>
    <s v="EVET"/>
    <n v="0"/>
    <s v="ARALIK"/>
    <n v="500143"/>
    <s v="AYDANUR TANAS"/>
    <s v="KURSAD TERCANLI"/>
    <s v="EVET"/>
    <s v="HATALI / EKSİK BİLGİ VERME"/>
    <m/>
    <m/>
    <m/>
  </r>
  <r>
    <s v="ÇAĞRI MERKEZİ"/>
    <s v="* 82193364157181"/>
    <n v="5349776885"/>
    <s v="BEDAŞ"/>
    <x v="0"/>
    <n v="600189"/>
    <s v="MEHMET ALI SAVAN "/>
    <s v="MEHMET ALI SAVAN "/>
    <x v="0"/>
    <s v="TAKIM LİDERİ"/>
    <s v="ARIZA"/>
    <x v="2"/>
    <x v="9"/>
    <d v="2025-12-09T00:00:00"/>
    <d v="2025-12-10T00:00:00"/>
    <x v="0"/>
    <m/>
    <s v="HALİDE PALAVAR"/>
    <s v="YAPILMADI"/>
    <s v="HAYIR"/>
    <s v="-"/>
    <s v="ARALIK"/>
    <n v="111175"/>
    <s v="TOLGA SELIMOGLU"/>
    <s v="YAPRAK KARAKOC"/>
    <s v="HAYIR"/>
    <s v="HATASIZ ÇAĞRI"/>
    <m/>
    <m/>
    <m/>
  </r>
  <r>
    <s v="ÇAĞRI MERKEZİ"/>
    <s v="* 34660217186854"/>
    <n v="5469028378"/>
    <s v="BEDAŞ"/>
    <x v="0"/>
    <n v="110875"/>
    <s v="BERHAN ALP"/>
    <s v="SEVCAN BULUT"/>
    <x v="1"/>
    <s v="MÜŞTERİ TEMSİLCİSİ"/>
    <s v="GENEL TALEPLER"/>
    <x v="1"/>
    <x v="7"/>
    <d v="2025-12-10T00:00:00"/>
    <d v="2025-12-10T00:00:00"/>
    <x v="0"/>
    <s v="-"/>
    <s v="HALİDE PALAVAR"/>
    <s v="YAPILMADI"/>
    <s v="HAYIR"/>
    <s v="-"/>
    <s v="ARALIK"/>
    <n v="210420"/>
    <s v="ROJIN ORAL"/>
    <s v="MUHAMMET AKSU"/>
    <s v="HAYIR"/>
    <s v="HATASIZ ÇAĞRI"/>
    <m/>
    <m/>
    <m/>
  </r>
  <r>
    <s v="ÇAĞRI MERKEZİ"/>
    <s v="* 08238360509951"/>
    <n v="5054410368"/>
    <s v="BEDAŞ"/>
    <x v="0"/>
    <n v="500153"/>
    <s v="ESRA YILMAZ"/>
    <s v="KURSAD TERCANLI"/>
    <x v="0"/>
    <s v="MÜŞTERİ TEMSİLCİSİ"/>
    <s v="AÇMA KESME"/>
    <x v="1"/>
    <x v="7"/>
    <d v="2025-12-09T00:00:00"/>
    <d v="2025-12-10T00:00:00"/>
    <x v="2"/>
    <s v="-"/>
    <s v="HALİDE PALAVAR"/>
    <s v="YAPILDI"/>
    <s v="EVET"/>
    <n v="0"/>
    <s v="ARALIK"/>
    <n v="500122"/>
    <s v="EYLUL YILDIRIM"/>
    <s v="SAMET KOCABEYOGLU"/>
    <s v="HAYIR"/>
    <s v="HATASIZ ÇAĞRI"/>
    <m/>
    <m/>
    <m/>
  </r>
  <r>
    <s v="ÇAĞRI MERKEZİ"/>
    <s v="*98102756910942"/>
    <n v="5302739848"/>
    <s v="AEPSAŞ"/>
    <x v="1"/>
    <n v="210021"/>
    <s v="HUSEYIN AKBULUT"/>
    <s v="KURTHAN FERDI CIHANTIMUR"/>
    <x v="1"/>
    <s v="MÜŞTERİ TEMSİLCİSİ"/>
    <s v="FATURA İŞLEMLERİ"/>
    <x v="3"/>
    <x v="10"/>
    <d v="2025-12-01T00:00:00"/>
    <d v="2025-12-02T00:00:00"/>
    <x v="3"/>
    <s v="-"/>
    <s v="ŞEYMANUR ÇEVİK"/>
    <s v="YAPILDI"/>
    <s v="HAYIR"/>
    <n v="100"/>
    <s v="ARALIK"/>
    <n v="600592"/>
    <s v="MELIKE ILAYDA CAL"/>
    <s v="ASYA DAG"/>
    <s v="HAYIR"/>
    <s v="HATASIZ ÇAĞRI"/>
    <m/>
    <m/>
    <m/>
  </r>
  <r>
    <s v="ÇAĞRI MERKEZİ"/>
    <s v="*61683295419504"/>
    <n v="5322312014"/>
    <s v="BEPSAŞ"/>
    <x v="1"/>
    <n v="600617"/>
    <s v="ELMAS  AKSOY"/>
    <s v="İNAN UMUT ÖRNEK "/>
    <x v="2"/>
    <s v="MÜŞTERİ TEMSİLCİSİ"/>
    <s v="MÜŞTERİ İŞLEMLERİ"/>
    <x v="2"/>
    <x v="5"/>
    <d v="2025-12-01T00:00:00"/>
    <d v="2025-12-02T00:00:00"/>
    <x v="0"/>
    <s v="-"/>
    <s v="ŞEYMANUR ÇEVİK"/>
    <s v="YAPILDI"/>
    <s v="HAYIR"/>
    <n v="100"/>
    <s v="ARALIK"/>
    <s v="-"/>
    <s v="---"/>
    <s v="---"/>
    <s v="-"/>
    <s v="-"/>
    <m/>
    <m/>
    <m/>
  </r>
  <r>
    <s v="ÇAĞRI MERKEZİ"/>
    <s v="*96976287039344"/>
    <n v="5366152173"/>
    <s v="BEPSAŞ"/>
    <x v="1"/>
    <n v="600625"/>
    <s v="UMMUGULSUM DILARA UZUNDERE"/>
    <s v="FERHAT DEMIR"/>
    <x v="2"/>
    <s v="MÜŞTERİ TEMSİLCİSİ"/>
    <s v="FATURA İŞLEMLERİ"/>
    <x v="2"/>
    <x v="2"/>
    <d v="2025-12-01T00:00:00"/>
    <d v="2025-12-02T00:00:00"/>
    <x v="3"/>
    <s v="-"/>
    <s v="ŞEYMANUR ÇEVİK"/>
    <s v="YAPILDI"/>
    <s v="EVET"/>
    <n v="0"/>
    <s v="ARALIK"/>
    <n v="110716"/>
    <s v="SERDAR SENGUN"/>
    <s v="MUSTAFA OZAYAG"/>
    <s v="EVET"/>
    <s v="HATALI / EKSİK BİLGİ VERME"/>
    <m/>
    <m/>
    <m/>
  </r>
  <r>
    <s v="ÇAĞRI MERKEZİ"/>
    <s v="*16470255121004"/>
    <n v="5529281025"/>
    <s v="BEDAŞ"/>
    <x v="0"/>
    <n v="500070"/>
    <s v="IREM NAZ OGUZ"/>
    <s v="SALTUK BUGRAHAN TAYMUS"/>
    <x v="0"/>
    <s v="MÜŞTERİ TEMSİLCİSİ"/>
    <s v="ARIZA"/>
    <x v="2"/>
    <x v="12"/>
    <d v="2025-12-02T00:00:00"/>
    <d v="2025-12-03T00:00:00"/>
    <x v="3"/>
    <s v="-"/>
    <s v="ŞEYMANUR ÇEVİK"/>
    <s v="YAPILDI"/>
    <s v="EVET"/>
    <n v="0"/>
    <s v="ARALIK"/>
    <n v="500112"/>
    <s v="RUMEYSA TOZLU"/>
    <s v="METEHAN EMRE SIRMALI"/>
    <s v="HAYIR"/>
    <s v="HATASIZ ÇAĞRI"/>
    <m/>
    <m/>
    <m/>
  </r>
  <r>
    <s v="ÇAĞRI MERKEZİ"/>
    <s v="*16470255121004"/>
    <n v="5529281025"/>
    <s v="BEDAŞ"/>
    <x v="0"/>
    <n v="500065"/>
    <s v="BATUHAN GULER"/>
    <s v="SALTUK BUGRAHAN TAYMUS"/>
    <x v="0"/>
    <s v="MÜŞTERİ TEMSİLCİSİ"/>
    <s v="ARIZA"/>
    <x v="2"/>
    <x v="12"/>
    <d v="2025-12-02T00:00:00"/>
    <d v="2025-12-03T00:00:00"/>
    <x v="3"/>
    <s v="-"/>
    <s v="ŞEYMANUR ÇEVİK"/>
    <s v="YAPILDI"/>
    <s v="EVET"/>
    <n v="0"/>
    <s v="ARALIK"/>
    <n v="500112"/>
    <s v="RUMEYSA TOZLU"/>
    <s v="METEHAN EMRE SIRMALI"/>
    <s v="HAYIR"/>
    <s v="HATASIZ ÇAĞRI"/>
    <m/>
    <m/>
    <m/>
  </r>
  <r>
    <s v="ÇAĞRI MERKEZİ"/>
    <s v="*16470255121004"/>
    <n v="5529281025"/>
    <s v="BEDAŞ"/>
    <x v="0"/>
    <n v="500074"/>
    <s v="ULVIYE ALPER"/>
    <s v="SALTUK BUGRAHAN TAYMUS"/>
    <x v="0"/>
    <s v="MÜŞTERİ TEMSİLCİSİ"/>
    <s v="ARIZA"/>
    <x v="2"/>
    <x v="12"/>
    <d v="2025-12-02T00:00:00"/>
    <d v="2025-12-03T00:00:00"/>
    <x v="3"/>
    <s v="-"/>
    <s v="ŞEYMANUR ÇEVİK"/>
    <s v="YAPILDI"/>
    <s v="EVET"/>
    <n v="0"/>
    <s v="ARALIK"/>
    <n v="500112"/>
    <s v="RUMEYSA TOZLU"/>
    <s v="METEHAN EMRE SIRMALI"/>
    <s v="HAYIR"/>
    <s v="HATASIZ ÇAĞRI"/>
    <m/>
    <m/>
    <m/>
  </r>
  <r>
    <s v="ÇAĞRI MERKEZİ"/>
    <s v="*38852377816726"/>
    <n v="5415216605"/>
    <s v="BEDAŞ"/>
    <x v="0"/>
    <n v="500029"/>
    <s v="OMER FARUK ERDEM"/>
    <s v="ERDOGAN DURUK"/>
    <x v="0"/>
    <s v="MÜŞTERİ TEMSİLCİSİ"/>
    <s v="ARIZA"/>
    <x v="2"/>
    <x v="9"/>
    <d v="2025-12-02T00:00:00"/>
    <d v="2025-12-03T00:00:00"/>
    <x v="3"/>
    <s v="-"/>
    <s v="ŞEYMANUR ÇEVİK"/>
    <s v="YAPILDI"/>
    <s v="EVET"/>
    <n v="0"/>
    <s v="ARALIK"/>
    <n v="111240"/>
    <s v="BERAT KILICARSLAN"/>
    <s v="YAPRAK KARAKOC"/>
    <s v="HAYIR"/>
    <s v="HATASIZ ÇAĞRI"/>
    <m/>
    <m/>
    <m/>
  </r>
  <r>
    <s v="ÇAĞRI MERKEZİ"/>
    <s v="*44155800011911"/>
    <n v="5541304662"/>
    <s v="AEDAŞ"/>
    <x v="0"/>
    <n v="600409"/>
    <s v="OZNIL SENEFE"/>
    <s v="İNAN UMUT ÖRNEK "/>
    <x v="2"/>
    <s v="MÜŞTERİ TEMSİLCİSİ"/>
    <s v="KAÇAK"/>
    <x v="0"/>
    <x v="11"/>
    <d v="2025-12-01T00:00:00"/>
    <d v="2025-12-02T00:00:00"/>
    <x v="0"/>
    <s v="-"/>
    <s v="ŞEYMANUR ÇEVİK"/>
    <s v="YAPILDI"/>
    <s v="HAYIR"/>
    <n v="80"/>
    <s v="ARALIK"/>
    <n v="111163"/>
    <s v="KEZBAN DEMIR"/>
    <s v="YAREN OZAYAG"/>
    <s v="HAYIR"/>
    <s v="HATASIZ ÇAĞRI"/>
    <m/>
    <m/>
    <m/>
  </r>
  <r>
    <s v="ÇAĞRI MERKEZİ"/>
    <s v="* 40160472929148"/>
    <n v="5397204906"/>
    <s v="BEPSAŞ"/>
    <x v="1"/>
    <n v="110799"/>
    <s v="SERKAN CURKA"/>
    <s v="MUSTAFA OZAYAG"/>
    <x v="1"/>
    <s v="MÜŞTERİ TEMSİLCİSİ"/>
    <s v="MÜŞTERİ İŞLEMLERİ"/>
    <x v="2"/>
    <x v="5"/>
    <d v="2025-12-08T00:00:00"/>
    <d v="2025-12-10T00:00:00"/>
    <x v="3"/>
    <s v="-"/>
    <s v="HALİDE PALAVAR"/>
    <s v="YAPILDI"/>
    <s v="EVET"/>
    <n v="0"/>
    <s v="ARALIK"/>
    <n v="111120"/>
    <s v="HAVVA AYDIN"/>
    <s v="MUHAMMET AKSU"/>
    <s v="HAYIR"/>
    <s v="HATASIZ ÇAĞRI"/>
    <m/>
    <m/>
    <m/>
  </r>
  <r>
    <s v="ÇAĞRI MERKEZİ"/>
    <s v="*69091999348095"/>
    <n v="5431252419"/>
    <s v="BEPSAŞ"/>
    <x v="1"/>
    <n v="600598"/>
    <s v="ALI ATALAY SIRIN"/>
    <s v="FERHAT DEMIR"/>
    <x v="2"/>
    <s v="MÜŞTERİ TEMSİLCİSİ"/>
    <s v="MÜŞTERİ İŞLEMLERİ"/>
    <x v="0"/>
    <x v="13"/>
    <d v="2025-12-04T00:00:00"/>
    <d v="2025-12-10T00:00:00"/>
    <x v="2"/>
    <s v="-"/>
    <s v="HALİDE PALAVAR"/>
    <s v="YAPILDI"/>
    <s v="EVET"/>
    <n v="0"/>
    <s v="ARALIK"/>
    <n v="111121"/>
    <s v="BURAK TIKICIERI"/>
    <s v="YAPRAK KARAKOC"/>
    <s v="HAYIR"/>
    <s v="HATASIZ ÇAĞRI"/>
    <m/>
    <m/>
    <m/>
  </r>
  <r>
    <s v="ÇAĞRI MERKEZİ"/>
    <s v="*46401545247707"/>
    <n v="5318593491"/>
    <s v="BEPSAŞ"/>
    <x v="1"/>
    <n v="600609"/>
    <s v="UMMUHAN SINEM BULUT"/>
    <s v="BUSRA OLCULMUS"/>
    <x v="2"/>
    <s v="MÜŞTERİ TEMSİLCİSİ"/>
    <s v="MÜŞTERİ İŞLEMLERİ"/>
    <x v="2"/>
    <x v="5"/>
    <d v="2025-12-08T00:00:00"/>
    <d v="2025-12-10T00:00:00"/>
    <x v="0"/>
    <s v="-"/>
    <s v="HALİDE PALAVAR"/>
    <s v="YAPILDI"/>
    <s v="EVET"/>
    <n v="0"/>
    <s v="ARALIK"/>
    <m/>
    <s v="---"/>
    <s v="---"/>
    <m/>
    <m/>
    <m/>
    <m/>
    <m/>
  </r>
  <r>
    <s v="ÇAĞRI MERKEZİ"/>
    <s v="*17770595738566"/>
    <n v="5052685333"/>
    <s v="BEPSAŞ"/>
    <x v="1"/>
    <n v="600607"/>
    <s v="RABIA BACAK"/>
    <s v="ASYA DAG"/>
    <x v="2"/>
    <s v="MÜŞTERİ TEMSİLCİSİ"/>
    <s v="MÜŞTERİ İŞLEMLERİ"/>
    <x v="2"/>
    <x v="5"/>
    <d v="2025-12-09T00:00:00"/>
    <d v="2025-12-10T00:00:00"/>
    <x v="0"/>
    <s v="-"/>
    <s v="HALİDE PALAVAR"/>
    <s v="YAPILDI"/>
    <s v="EVET"/>
    <n v="0"/>
    <s v="ARALIK"/>
    <n v="111031"/>
    <s v="MUHAMMED EREN KAYA"/>
    <s v="YAREN OZAYAG"/>
    <s v="EVET"/>
    <s v="ŞİKAYETE YÖNLENDİRME"/>
    <m/>
    <m/>
    <m/>
  </r>
  <r>
    <s v="ÇAĞRI MERKEZİ"/>
    <s v="* 58869292953303"/>
    <n v="5366563435"/>
    <s v="BEPSAŞ"/>
    <x v="1"/>
    <n v="111272"/>
    <s v="RIDVAN GUNES"/>
    <s v="YAPRAK KARAKOC"/>
    <x v="1"/>
    <s v="MÜŞTERİ TEMSİLCİSİ"/>
    <s v="MÜŞTERİ İŞLEMLERİ"/>
    <x v="2"/>
    <x v="14"/>
    <d v="2025-12-09T00:00:00"/>
    <d v="2025-12-10T00:00:00"/>
    <x v="2"/>
    <s v="-"/>
    <s v="HALİDE PALAVAR"/>
    <s v="YAPILDI"/>
    <s v="EVET"/>
    <n v="0"/>
    <s v="ARALIK"/>
    <n v="600604"/>
    <s v="IPEK SERIFE ALTAY"/>
    <s v="İNAN UMUT ÖRNEK "/>
    <s v="EVET"/>
    <s v="ŞİKAYETE YÖNLENDİRME"/>
    <m/>
    <m/>
    <m/>
  </r>
  <r>
    <s v="ÇAĞRI MERKEZİ"/>
    <s v="* 93278790399504"/>
    <n v="5374146253"/>
    <s v="AEDAŞ"/>
    <x v="0"/>
    <n v="111249"/>
    <s v="EYUPHAN ATAS"/>
    <s v="SEDA SEBU"/>
    <x v="1"/>
    <s v="MÜŞTERİ TEMSİLCİSİ"/>
    <s v="GENEL TALEPLER"/>
    <x v="1"/>
    <x v="7"/>
    <d v="2025-12-10T00:00:00"/>
    <d v="2025-12-10T00:00:00"/>
    <x v="0"/>
    <s v="-"/>
    <s v="HALİDE PALAVAR"/>
    <s v="YAPILMADI"/>
    <s v="HAYIR"/>
    <s v="-"/>
    <s v="ARALIK"/>
    <n v="500132"/>
    <s v="SONGUL BEKCI"/>
    <s v="TURGUT AKDAG"/>
    <s v="HAYIR"/>
    <s v="HATASIZ ÇAĞRI"/>
    <m/>
    <m/>
    <m/>
  </r>
  <r>
    <s v="ÇAĞRI MERKEZİ"/>
    <s v="*_x0009_ 47978103962848"/>
    <n v="5014801605"/>
    <s v="BEPSAŞ"/>
    <x v="1"/>
    <n v="600797"/>
    <s v="SENA NUR KOCABAY"/>
    <s v="GORKEM SERT"/>
    <x v="2"/>
    <s v="MÜŞTERİ TEMSİLCİSİ"/>
    <s v="FATURA İŞLEMLERİ"/>
    <x v="0"/>
    <x v="4"/>
    <d v="2025-12-09T00:00:00"/>
    <d v="2025-12-11T00:00:00"/>
    <x v="3"/>
    <s v="-"/>
    <s v="HALİDE PALAVAR"/>
    <s v="YAPILDI"/>
    <s v="HAYIR"/>
    <n v="40"/>
    <s v="ARALIK"/>
    <n v="600726"/>
    <s v="MELEK SUDE YANAR"/>
    <s v="ASYA DAG"/>
    <s v="EVET"/>
    <s v="ŞİKAYETE YÖNLENDİRME"/>
    <m/>
    <m/>
    <m/>
  </r>
  <r>
    <s v="ÇAĞRI MERKEZİ"/>
    <s v="*89942940499846"/>
    <n v="5469110118"/>
    <s v="ÇEDAŞ"/>
    <x v="0"/>
    <n v="999999"/>
    <s v="GENEL TEŞEKKÜR"/>
    <s v="GENEL TEŞEKKÜR"/>
    <x v="3"/>
    <n v="0"/>
    <s v="AYDINLATMA"/>
    <x v="3"/>
    <x v="15"/>
    <d v="2025-12-10T00:00:00"/>
    <d v="2025-12-11T00:00:00"/>
    <x v="5"/>
    <s v="-"/>
    <s v="HALİDE PALAVAR"/>
    <s v="YAPILMADI"/>
    <s v="HAYIR"/>
    <s v="-"/>
    <s v="ARALIK"/>
    <n v="110463"/>
    <s v="MUHAMMET ACAY"/>
    <s v="SEDA SEBU"/>
    <s v="EVET"/>
    <s v="HATALI / EKSİK BİLGİ VERME"/>
    <m/>
    <m/>
    <m/>
  </r>
  <r>
    <s v="ÇAĞRI MERKEZİ"/>
    <s v="*20747445682895"/>
    <n v="5325835074"/>
    <s v="BEDAŞ"/>
    <x v="0"/>
    <n v="999999"/>
    <s v="GENEL TEŞEKKÜR"/>
    <s v="GENEL TEŞEKKÜR"/>
    <x v="3"/>
    <n v="0"/>
    <s v="ARIZA"/>
    <x v="3"/>
    <x v="15"/>
    <d v="2025-12-10T00:00:00"/>
    <d v="2025-12-11T00:00:00"/>
    <x v="5"/>
    <s v="-"/>
    <s v="HALİDE PALAVAR"/>
    <s v="YAPILMADI"/>
    <s v="HAYIR"/>
    <s v="-"/>
    <s v="ARALIK"/>
    <n v="500079"/>
    <s v="BURÇIN ARICI"/>
    <s v="SALTUK BUGRAHAN TAYMUS"/>
    <s v="EVET"/>
    <s v="HATALI / EKSİK BİLGİ VERME"/>
    <m/>
    <m/>
    <m/>
  </r>
  <r>
    <s v="ÇAĞRI MERKEZİ"/>
    <s v="* 16799562088129"/>
    <n v="5446240552"/>
    <s v="ÇEDAŞ"/>
    <x v="0"/>
    <n v="210376"/>
    <s v="DIDEM AZIRKAN"/>
    <s v="CEYHAN AYRIC"/>
    <x v="1"/>
    <s v="MÜŞTERİ TEMSİLCİSİ"/>
    <s v="ARIZA"/>
    <x v="2"/>
    <x v="5"/>
    <d v="2025-12-11T00:00:00"/>
    <d v="2025-12-11T00:00:00"/>
    <x v="0"/>
    <s v="-"/>
    <s v="HALİDE PALAVAR"/>
    <s v="YAPILDI"/>
    <s v="HAYIR"/>
    <n v="86"/>
    <s v="ARALIK"/>
    <m/>
    <s v="---"/>
    <s v="---"/>
    <m/>
    <m/>
    <m/>
    <m/>
    <m/>
  </r>
  <r>
    <s v="ŞİRKET İÇ BİRİM"/>
    <s v="*5577961400 "/>
    <n v="5397232510"/>
    <s v="BEPSAŞ"/>
    <x v="1"/>
    <n v="600618"/>
    <s v="ENES ALI SATIR"/>
    <s v="FERHAT DEMIR"/>
    <x v="2"/>
    <s v="MÜŞTERİ TEMSİLCİSİ"/>
    <s v="MÜŞTERİ İŞLEMLERİ"/>
    <x v="2"/>
    <x v="5"/>
    <d v="2025-12-02T00:00:00"/>
    <d v="2025-12-03T00:00:00"/>
    <x v="0"/>
    <s v="-"/>
    <s v="ŞEYMANUR ÇEVİK"/>
    <s v="YAPILDI"/>
    <s v="EVET"/>
    <n v="0"/>
    <s v="ARALIK"/>
    <m/>
    <s v="---"/>
    <s v="---"/>
    <m/>
    <m/>
    <m/>
    <m/>
    <m/>
  </r>
  <r>
    <s v="ŞİRKET İÇ BİRİM"/>
    <s v="*5577961400 "/>
    <n v="5397232510"/>
    <s v="BEPSAŞ"/>
    <x v="1"/>
    <n v="600661"/>
    <s v="ZEYNEP TEKELI"/>
    <s v="BUSRA OLCULMUS"/>
    <x v="2"/>
    <s v="MÜŞTERİ TEMSİLCİSİ"/>
    <s v="MÜŞTERİ İŞLEMLERİ"/>
    <x v="2"/>
    <x v="14"/>
    <d v="2025-12-02T00:00:00"/>
    <d v="2025-12-03T00:00:00"/>
    <x v="0"/>
    <s v="-"/>
    <s v="ŞEYMANUR ÇEVİK"/>
    <s v="YAPILDI"/>
    <s v="EVET"/>
    <n v="0"/>
    <s v="ARALIK"/>
    <m/>
    <s v="---"/>
    <s v="---"/>
    <m/>
    <m/>
    <m/>
    <m/>
    <m/>
  </r>
  <r>
    <s v="ŞİRKET İÇ BİRİM"/>
    <s v="*5577961400 "/>
    <n v="5397232510"/>
    <s v="BEPSAŞ"/>
    <x v="1"/>
    <n v="600657"/>
    <s v="SEHER ERCAN"/>
    <s v="FERHAT DEMIR"/>
    <x v="2"/>
    <s v="MÜŞTERİ TEMSİLCİSİ"/>
    <s v="MÜŞTERİ İŞLEMLERİ"/>
    <x v="2"/>
    <x v="5"/>
    <d v="2025-12-02T00:00:00"/>
    <d v="2025-12-03T00:00:00"/>
    <x v="0"/>
    <s v="-"/>
    <s v="ŞEYMANUR ÇEVİK"/>
    <s v="YAPILMADI"/>
    <s v="HAYIR"/>
    <s v="-"/>
    <s v="ARALIK"/>
    <m/>
    <s v="---"/>
    <s v="---"/>
    <m/>
    <m/>
    <m/>
    <m/>
    <m/>
  </r>
  <r>
    <s v="CİMER"/>
    <s v="*23734251760"/>
    <n v="5337319588"/>
    <s v="AEDAŞ"/>
    <x v="0"/>
    <n v="500040"/>
    <s v="CANER CAMCI"/>
    <s v="MEHMET ALI SAVAN"/>
    <x v="0"/>
    <s v="MÜŞTERİ TEMSİLCİSİ"/>
    <s v="GENEL TALEPLER"/>
    <x v="1"/>
    <x v="8"/>
    <d v="2025-12-03T00:00:00"/>
    <d v="2025-12-03T00:00:00"/>
    <x v="0"/>
    <s v="-"/>
    <s v="ŞEYMANUR ÇEVİK"/>
    <s v="YAPILMADI"/>
    <s v="HAYIR"/>
    <s v="-"/>
    <s v="ARALIK"/>
    <m/>
    <s v="---"/>
    <s v="---"/>
    <m/>
    <m/>
    <m/>
    <m/>
    <m/>
  </r>
  <r>
    <s v="CİMER"/>
    <s v="*23734251760"/>
    <n v="5337319588"/>
    <s v="AEDAŞ"/>
    <x v="0"/>
    <n v="500078"/>
    <s v="DUYGU DEMIRCI"/>
    <s v="SALTUK BUGRAHAN TAYMUS"/>
    <x v="0"/>
    <s v="MÜŞTERİ TEMSİLCİSİ"/>
    <s v="GENEL TALEPLER"/>
    <x v="1"/>
    <x v="8"/>
    <d v="2025-12-03T00:00:00"/>
    <d v="2025-12-03T00:00:00"/>
    <x v="0"/>
    <s v="-"/>
    <s v="ŞEYMANUR ÇEVİK"/>
    <s v="YAPILMADI"/>
    <s v="HAYIR"/>
    <s v="-"/>
    <s v="ARALIK"/>
    <m/>
    <s v="---"/>
    <s v="---"/>
    <m/>
    <m/>
    <m/>
    <m/>
    <m/>
  </r>
  <r>
    <s v="CİMER"/>
    <s v="*23734251760"/>
    <n v="5337319588"/>
    <s v="AEDAŞ"/>
    <x v="0"/>
    <n v="500079"/>
    <s v="BURÇIN ARICI"/>
    <s v="SALTUK BUGRAHAN TAYMUS"/>
    <x v="0"/>
    <s v="MÜŞTERİ TEMSİLCİSİ"/>
    <s v="GENEL TALEPLER"/>
    <x v="1"/>
    <x v="8"/>
    <d v="2025-12-03T00:00:00"/>
    <d v="2025-12-03T00:00:00"/>
    <x v="0"/>
    <s v="-"/>
    <s v="ŞEYMANUR ÇEVİK"/>
    <s v="YAPILMADI"/>
    <s v="HAYIR"/>
    <s v="-"/>
    <s v="ARALIK"/>
    <m/>
    <s v="---"/>
    <s v="---"/>
    <m/>
    <m/>
    <m/>
    <m/>
    <m/>
  </r>
  <r>
    <s v="CİMER"/>
    <s v="*23734251760"/>
    <n v="5337319588"/>
    <s v="AEDAŞ"/>
    <x v="0"/>
    <n v="111182"/>
    <s v="DIDEM KENCU"/>
    <s v="SEVCAN BULUT"/>
    <x v="1"/>
    <s v="MÜŞTERİ TEMSİLCİSİ"/>
    <s v="GENEL TALEPLER"/>
    <x v="1"/>
    <x v="8"/>
    <d v="2025-12-03T00:00:00"/>
    <d v="2025-12-03T00:00:00"/>
    <x v="0"/>
    <s v="-"/>
    <s v="ŞEYMANUR ÇEVİK"/>
    <s v="YAPILMADI"/>
    <s v="HAYIR"/>
    <s v="-"/>
    <s v="ARALIK"/>
    <m/>
    <s v="---"/>
    <s v="---"/>
    <m/>
    <m/>
    <m/>
    <m/>
    <m/>
  </r>
  <r>
    <s v="ÇAĞRI MERKEZİ"/>
    <s v="*40189127520257"/>
    <n v="5345764171"/>
    <s v="BEDAŞ"/>
    <x v="0"/>
    <n v="500147"/>
    <s v="CAGLAR KURSAT YILMAZ"/>
    <s v="KURSAD TERCANLI"/>
    <x v="0"/>
    <s v="MÜŞTERİ TEMSİLCİSİ"/>
    <s v="GENEL TALEPLER"/>
    <x v="1"/>
    <x v="8"/>
    <d v="2025-12-03T00:00:00"/>
    <d v="2025-12-05T00:00:00"/>
    <x v="0"/>
    <s v="-"/>
    <s v="ŞEYMANUR ÇEVİK"/>
    <s v="YAPILMADI"/>
    <s v="HAYIR"/>
    <s v="-"/>
    <s v="ARALIK"/>
    <n v="500151"/>
    <s v="EMINE ABI"/>
    <s v="KURSAD TERCANLI"/>
    <s v="HAYIR"/>
    <s v="HATASIZ ÇAĞRI"/>
    <m/>
    <m/>
    <m/>
  </r>
  <r>
    <s v="ÇAĞRI MERKEZİ"/>
    <s v="*38037828992914"/>
    <n v="5305703520"/>
    <s v="AEDAŞ"/>
    <x v="0"/>
    <n v="500196"/>
    <s v="MUHAMMED IKBAL KARABACAK"/>
    <s v="TURGUT AKDAG"/>
    <x v="0"/>
    <s v="MÜŞTERİ TEMSİLCİSİ"/>
    <s v="AYDINLATMA"/>
    <x v="1"/>
    <x v="8"/>
    <d v="2025-12-03T00:00:00"/>
    <d v="2025-12-08T00:00:00"/>
    <x v="2"/>
    <s v="-"/>
    <s v="ŞEYMANUR ÇEVİK"/>
    <s v="YAPILDI"/>
    <s v="EVET"/>
    <n v="0"/>
    <s v="ARALIK"/>
    <n v="500093"/>
    <s v="EMRE GUNES"/>
    <s v="METEHAN EMRE SIRMALI"/>
    <s v="HAYIR"/>
    <s v="HATASIZ ÇAĞRI"/>
    <m/>
    <m/>
    <m/>
  </r>
  <r>
    <s v="ÇAĞRI MERKEZİ"/>
    <s v="*84636038938924"/>
    <n v="5398685195"/>
    <s v="AEDAŞ"/>
    <x v="0"/>
    <n v="500075"/>
    <s v="AHMET SEFA BASBUGA"/>
    <s v="SALTUK BUGRAHAN TAYMUS"/>
    <x v="0"/>
    <s v="MÜŞTERİ TEMSİLCİSİ"/>
    <s v="SAYAÇ İŞLEMLERİ"/>
    <x v="2"/>
    <x v="5"/>
    <d v="2025-12-04T00:00:00"/>
    <d v="2025-12-08T00:00:00"/>
    <x v="0"/>
    <s v="-"/>
    <s v="ŞEYMANUR ÇEVİK"/>
    <s v="YAPILDI"/>
    <s v="HAYIR"/>
    <n v="100"/>
    <s v="ARALIK"/>
    <n v="500043"/>
    <s v="ELANUR DUMLU"/>
    <s v="MEHMET ALI SAVAN"/>
    <s v="EVET"/>
    <s v="HATALI / EKSİK BİLGİ VERME"/>
    <m/>
    <m/>
    <m/>
  </r>
  <r>
    <s v="ÇAĞRI MERKEZİ"/>
    <s v="*61599149708119"/>
    <n v="5055031052"/>
    <s v="AEDAŞ"/>
    <x v="0"/>
    <n v="500132"/>
    <s v="SONGUL BEKCI"/>
    <s v="TURGUT AKDAG"/>
    <x v="0"/>
    <s v="MÜŞTERİ TEMSİLCİSİ"/>
    <s v="İŞLETME TALEPLERİ"/>
    <x v="2"/>
    <x v="5"/>
    <d v="2025-12-01T00:00:00"/>
    <d v="2025-12-08T00:00:00"/>
    <x v="1"/>
    <s v="-"/>
    <s v="ŞEYMANUR ÇEVİK"/>
    <s v="YAPILDI"/>
    <s v="EVET"/>
    <n v="0"/>
    <s v="ARALIK"/>
    <n v="500069"/>
    <s v="HUMEYYA ILAYDA ORS"/>
    <s v="SALTUK BUGRAHAN TAYMUS"/>
    <s v="HAYIR"/>
    <s v="HATASIZ ÇAĞRI"/>
    <m/>
    <m/>
    <m/>
  </r>
  <r>
    <s v="ÇAĞRI MERKEZİ"/>
    <s v="*27858296276453"/>
    <n v="5510853149"/>
    <s v="AEDAŞ"/>
    <x v="0"/>
    <s v="-"/>
    <s v="- - - "/>
    <s v="- - -"/>
    <x v="4"/>
    <s v="- - -"/>
    <s v="-"/>
    <x v="1"/>
    <x v="16"/>
    <s v="-"/>
    <d v="2025-12-08T00:00:00"/>
    <x v="6"/>
    <s v="-"/>
    <s v="ŞEYMANUR ÇEVİK"/>
    <s v="YAPILMADI"/>
    <s v="HAYIR"/>
    <s v="-"/>
    <s v="ARALIK"/>
    <n v="500118"/>
    <s v="AYSE KOKSAL"/>
    <s v="SAMET KOCABEYOGLU"/>
    <s v="EVET"/>
    <s v="HATALI / EKSİK BİLGİ VERME"/>
    <m/>
    <m/>
    <m/>
  </r>
  <r>
    <s v="ÇAĞRI MERKEZİ"/>
    <s v="*95328502893739"/>
    <n v="5322358696"/>
    <s v="AEDAŞ"/>
    <x v="0"/>
    <n v="500157"/>
    <s v="KADIR ATES"/>
    <s v="KURSAD TERCANLI"/>
    <x v="0"/>
    <s v="MÜŞTERİ TEMSİLCİSİ"/>
    <s v="ARIZA"/>
    <x v="1"/>
    <x v="1"/>
    <d v="2025-12-06T00:00:00"/>
    <d v="2025-12-08T00:00:00"/>
    <x v="0"/>
    <s v="-"/>
    <s v="ŞEYMANUR ÇEVİK"/>
    <s v="YAPILDI"/>
    <s v="EVET"/>
    <n v="0"/>
    <s v="ARALIK"/>
    <n v="111253"/>
    <s v="TUGBA ALTUNOK"/>
    <s v="YAPRAK KARAKOC"/>
    <s v="HAYIR"/>
    <s v="HATASIZ ÇAĞRI"/>
    <m/>
    <m/>
    <m/>
  </r>
  <r>
    <s v="ÇAĞRI MERKEZİ"/>
    <s v="*09273024475149"/>
    <n v="5466766546"/>
    <s v="AEDAŞ"/>
    <x v="0"/>
    <n v="500181"/>
    <s v="IREM BAHAR UYGUN"/>
    <s v="SAMET KOCABEYOGLU"/>
    <x v="0"/>
    <s v="MÜŞTERİ TEMSİLCİSİ"/>
    <s v="ARIZA"/>
    <x v="2"/>
    <x v="5"/>
    <d v="2025-12-05T00:00:00"/>
    <d v="2025-12-08T00:00:00"/>
    <x v="0"/>
    <s v="-"/>
    <s v="ŞEYMANUR ÇEVİK"/>
    <s v="YAPILDI"/>
    <s v="HAYIR"/>
    <n v="98"/>
    <s v="ARALIK"/>
    <n v="500024"/>
    <s v="MERVE URUK"/>
    <s v="ERDOGAN DURUK"/>
    <s v="HAYIR"/>
    <s v="HATASIZ ÇAĞRI"/>
    <m/>
    <m/>
    <m/>
  </r>
  <r>
    <s v="ÇAĞRI MERKEZİ"/>
    <s v="*09273024475149"/>
    <n v="5466766546"/>
    <s v="AEDAŞ"/>
    <x v="0"/>
    <n v="500143"/>
    <s v="AYDANUR TANAS"/>
    <s v="KURSAD TERCANLI"/>
    <x v="0"/>
    <s v="MÜŞTERİ TEMSİLCİSİ"/>
    <s v="ARIZA"/>
    <x v="2"/>
    <x v="5"/>
    <d v="2025-12-05T00:00:00"/>
    <d v="2025-12-08T00:00:00"/>
    <x v="1"/>
    <s v="-"/>
    <s v="ŞEYMANUR ÇEVİK"/>
    <s v="YAPILDI"/>
    <s v="EVET"/>
    <n v="0"/>
    <s v="ARALIK"/>
    <n v="500024"/>
    <s v="MERVE URUK"/>
    <s v="ERDOGAN DURUK"/>
    <s v="HAYIR"/>
    <s v="HATASIZ ÇAĞRI"/>
    <m/>
    <m/>
    <m/>
  </r>
  <r>
    <s v="ÇAĞRI MERKEZİ"/>
    <s v="*67627134964761"/>
    <n v="5348940188"/>
    <s v="AEDAŞ"/>
    <x v="0"/>
    <n v="111193"/>
    <s v="ROJDA BAHAR AKKAYA"/>
    <s v="ERCUMENT GUNESSU"/>
    <x v="1"/>
    <s v="MÜŞTERİ TEMSİLCİSİ"/>
    <s v="ARIZA"/>
    <x v="1"/>
    <x v="1"/>
    <d v="2025-12-07T00:00:00"/>
    <d v="2025-12-08T00:00:00"/>
    <x v="0"/>
    <s v="-"/>
    <s v="ŞEYMANUR ÇEVİK"/>
    <s v="YAPILDI"/>
    <s v="EVET"/>
    <n v="0"/>
    <s v="ARALIK"/>
    <n v="210163"/>
    <s v="GIZEM CELIK"/>
    <s v="YAREN OZAYAG"/>
    <s v="HAYIR"/>
    <s v="HATASIZ ÇAĞRI"/>
    <m/>
    <m/>
    <m/>
  </r>
  <r>
    <s v="ÇAĞRI MERKEZİ"/>
    <s v="*67474750157496"/>
    <n v="5389834117"/>
    <s v="BEPSAŞ"/>
    <x v="1"/>
    <n v="111212"/>
    <s v="TULIN ANCI"/>
    <s v="YAPRAK KARAKOC"/>
    <x v="1"/>
    <s v="MÜŞTERİ TEMSİLCİSİ"/>
    <s v="AÇMA KESME"/>
    <x v="2"/>
    <x v="5"/>
    <d v="2025-12-04T00:00:00"/>
    <d v="2025-12-08T00:00:00"/>
    <x v="2"/>
    <s v="-"/>
    <s v="ŞEYMANUR ÇEVİK"/>
    <s v="YAPILDI"/>
    <s v="EVET"/>
    <n v="0"/>
    <s v="ARALIK"/>
    <n v="110938"/>
    <s v="MUHAMMED CAN SEFERTAS"/>
    <s v="YAPRAK KARAKOC"/>
    <s v="HAYIR"/>
    <s v="HATASIZ ÇAĞRI"/>
    <m/>
    <m/>
    <m/>
  </r>
  <r>
    <s v="ÇAĞRI MERKEZİ"/>
    <s v="*94875261136892"/>
    <n v="5323498122"/>
    <s v="BEPSAŞ"/>
    <x v="1"/>
    <n v="600604"/>
    <s v="IPEK SERIFE ALTAY"/>
    <s v="İNAN UMUT ÖRNEK "/>
    <x v="2"/>
    <s v="MÜŞTERİ TEMSİLCİSİ"/>
    <s v="BİLGİ EDİNME"/>
    <x v="1"/>
    <x v="7"/>
    <d v="2025-12-04T00:00:00"/>
    <d v="2025-12-08T00:00:00"/>
    <x v="2"/>
    <s v="-"/>
    <s v="ŞEYMANUR ÇEVİK"/>
    <s v="YAPILDI"/>
    <s v="EVET"/>
    <n v="0"/>
    <s v="ARALIK"/>
    <n v="600455"/>
    <s v="VUSLAT UNAL"/>
    <s v="GORKEM SERT"/>
    <s v="EVET"/>
    <s v="HATALI / EKSİK BİLGİ VERME"/>
    <m/>
    <m/>
    <m/>
  </r>
  <r>
    <s v="ÇAĞRI MERKEZİ"/>
    <s v="*68081307875737"/>
    <n v="5414475842"/>
    <s v="BEPSAŞ"/>
    <x v="1"/>
    <n v="600506"/>
    <s v="NURAY ARLI"/>
    <s v="İNAN UMUT ÖRNEK "/>
    <x v="2"/>
    <s v="TAKIM LİDERİ"/>
    <s v="FATURA İŞLEMLERİ"/>
    <x v="2"/>
    <x v="5"/>
    <d v="2025-12-04T00:00:00"/>
    <d v="2025-12-08T00:00:00"/>
    <x v="0"/>
    <s v="-"/>
    <s v="ŞEYMANUR ÇEVİK"/>
    <s v="YAPILDI"/>
    <s v="HAYIR"/>
    <n v="76"/>
    <s v="ARALIK"/>
    <s v="-"/>
    <s v="---"/>
    <s v="---"/>
    <s v="-"/>
    <s v="-"/>
    <m/>
    <m/>
    <m/>
  </r>
  <r>
    <s v="ÇAĞRI MERKEZİ"/>
    <s v="*64684544865705"/>
    <n v="5336983288"/>
    <s v="BEPSAŞ"/>
    <x v="1"/>
    <n v="600721"/>
    <s v="ESRA SONMEZ"/>
    <s v="BUSRA OLCULMUS"/>
    <x v="2"/>
    <s v="MÜŞTERİ TEMSİLCİSİ"/>
    <s v="FATURA İŞLEMLERİ"/>
    <x v="2"/>
    <x v="5"/>
    <d v="2025-12-05T00:00:00"/>
    <d v="2025-12-08T00:00:00"/>
    <x v="1"/>
    <s v="-"/>
    <s v="ŞEYMANUR ÇEVİK"/>
    <s v="YAPILDI"/>
    <s v="EVET"/>
    <n v="0"/>
    <s v="ARALIK"/>
    <n v="111205"/>
    <s v="ESRA ATMACA"/>
    <s v="MUHAMMET AKSU"/>
    <s v="HAYIR"/>
    <s v="HATASIZ ÇAĞRI"/>
    <m/>
    <m/>
    <m/>
  </r>
  <r>
    <s v="ÇAĞRI MERKEZİ"/>
    <s v="*98077338459862"/>
    <n v="5347811781"/>
    <s v="BEPSAŞ"/>
    <x v="1"/>
    <n v="600612"/>
    <s v="ZEYNEP ULUSOY"/>
    <s v="ASYA DAG"/>
    <x v="2"/>
    <s v="MÜŞTERİ TEMSİLCİSİ"/>
    <s v="FATURA İŞLEMLERİ"/>
    <x v="2"/>
    <x v="2"/>
    <d v="2025-12-06T00:00:00"/>
    <d v="2025-12-09T00:00:00"/>
    <x v="1"/>
    <s v="-"/>
    <s v="ŞEYMANUR ÇEVİK"/>
    <s v="YAPILDI"/>
    <s v="EVET"/>
    <n v="0"/>
    <s v="ARALIK"/>
    <s v="-"/>
    <s v="---"/>
    <s v="---"/>
    <s v="-"/>
    <s v="-"/>
    <m/>
    <m/>
    <m/>
  </r>
  <r>
    <s v="ÇAĞRI MERKEZİ"/>
    <s v="*44601316698951"/>
    <n v="5547508168"/>
    <s v="AEDAŞ"/>
    <x v="0"/>
    <n v="500113"/>
    <s v="SENA DEMIR"/>
    <s v="METEHAN EMRE SIRMALI"/>
    <x v="0"/>
    <s v="MÜŞTERİ TEMSİLCİSİ"/>
    <s v="ARIZA"/>
    <x v="2"/>
    <x v="5"/>
    <d v="2025-12-06T00:00:00"/>
    <d v="2025-12-09T00:00:00"/>
    <x v="1"/>
    <s v="-"/>
    <s v="ŞEYMANUR ÇEVİK"/>
    <s v="YAPILDI"/>
    <s v="EVET"/>
    <n v="0"/>
    <s v="ARALIK"/>
    <n v="111253"/>
    <s v="TUGBA ALTUNOK"/>
    <s v="YAPRAK KARAKOC"/>
    <s v="HAYIR"/>
    <s v="HATASIZ ÇAĞRI"/>
    <m/>
    <m/>
    <m/>
  </r>
  <r>
    <s v="ÇAĞRI MERKEZİ"/>
    <s v="*87050688424209"/>
    <n v="5435220740"/>
    <s v="AEDAŞ"/>
    <x v="0"/>
    <n v="500057"/>
    <s v="SAMET KOCABEYOGLU"/>
    <s v="SAMET KOCABEYOGLU"/>
    <x v="0"/>
    <s v="MÜŞTERİ TEMSİLCİSİ"/>
    <s v="ARIZA"/>
    <x v="2"/>
    <x v="5"/>
    <d v="2025-12-08T00:00:00"/>
    <d v="2025-12-09T00:00:00"/>
    <x v="0"/>
    <s v="-"/>
    <s v="ŞEYMANUR ÇEVİK"/>
    <s v="YAPILMADI"/>
    <s v="HAYIR"/>
    <s v="-"/>
    <s v="ARALIK"/>
    <n v="500024"/>
    <s v="MERVE URUK"/>
    <s v="ERDOGAN DURUK"/>
    <s v="HAYIR"/>
    <s v="HATASIZ ÇAĞRI"/>
    <m/>
    <m/>
    <m/>
  </r>
  <r>
    <s v="ÇAĞRI MERKEZİ"/>
    <s v="*77661791620289 / *98638475408774"/>
    <n v="5523248951"/>
    <s v="AEDAŞ"/>
    <x v="0"/>
    <n v="500128"/>
    <s v="NILUFER HAZAN CIFCI"/>
    <s v="SAMET KOCABEYOGLU"/>
    <x v="0"/>
    <s v="MÜŞTERİ TEMSİLCİSİ"/>
    <s v="ARIZA"/>
    <x v="0"/>
    <x v="0"/>
    <d v="2025-12-08T00:00:00"/>
    <d v="2025-12-09T00:00:00"/>
    <x v="0"/>
    <s v="-"/>
    <s v="ŞEYMANUR ÇEVİK"/>
    <s v="YAPILDI"/>
    <s v="HAYIR"/>
    <n v="100"/>
    <s v="ARALIK"/>
    <n v="500048"/>
    <s v="FATMA NUR TASBASI"/>
    <s v="MEHMET ALI SAVAN"/>
    <s v="HAYIR"/>
    <s v="HATASIZ ÇAĞRI"/>
    <m/>
    <m/>
    <m/>
  </r>
  <r>
    <s v="ÇAĞRI MERKEZİ"/>
    <s v="*16276000783384"/>
    <n v="5330921482"/>
    <s v="BEDAŞ"/>
    <x v="0"/>
    <n v="500143"/>
    <s v="AYDANUR TANAS"/>
    <s v="KURSAD TERCANLI"/>
    <x v="0"/>
    <s v="MÜŞTERİ TEMSİLCİSİ"/>
    <s v="KAÇAK"/>
    <x v="0"/>
    <x v="11"/>
    <d v="2025-12-05T00:00:00"/>
    <d v="2025-12-09T00:00:00"/>
    <x v="1"/>
    <s v="-"/>
    <s v="ŞEYMANUR ÇEVİK"/>
    <s v="YAPILDI"/>
    <s v="EVET"/>
    <n v="0"/>
    <s v="ARALIK"/>
    <n v="500141"/>
    <s v="ZIHNI AKPINAR"/>
    <s v="SAMET KOCABEYOGLU"/>
    <s v="EVET"/>
    <s v="HATALI / EKSİK BİLGİ VERME"/>
    <m/>
    <m/>
    <m/>
  </r>
  <r>
    <s v="ÇAĞRI MERKEZİ"/>
    <s v="*83582327210060"/>
    <n v="5363133143"/>
    <s v="BEDAŞ"/>
    <x v="0"/>
    <n v="500172"/>
    <s v="CANPOLAT SENTURK"/>
    <s v="ERDOGAN DURUK"/>
    <x v="0"/>
    <s v="MÜŞTERİ TEMSİLCİSİ"/>
    <s v="ARIZA"/>
    <x v="1"/>
    <x v="1"/>
    <d v="2025-12-08T00:00:00"/>
    <d v="2025-12-09T00:00:00"/>
    <x v="0"/>
    <s v="-"/>
    <s v="ŞEYMANUR ÇEVİK"/>
    <s v="YAPILDI"/>
    <s v="EVET"/>
    <n v="0"/>
    <s v="ARALIK"/>
    <n v="600455"/>
    <s v="VUSLAT UNAL"/>
    <s v="GORKEM SERT"/>
    <s v="HAYIR"/>
    <s v="HATASIZ ÇAĞRI"/>
    <m/>
    <m/>
    <m/>
  </r>
  <r>
    <s v="ÇAĞRI MERKEZİ"/>
    <s v="*24527561385988"/>
    <n v="5306067354"/>
    <s v="BEDAŞ"/>
    <x v="0"/>
    <n v="500145"/>
    <s v="BELMA ONAL"/>
    <s v="KURSAD TERCANLI"/>
    <x v="0"/>
    <s v="MÜŞTERİ TEMSİLCİSİ"/>
    <s v="ARIZA"/>
    <x v="0"/>
    <x v="0"/>
    <d v="2025-12-08T00:00:00"/>
    <d v="2025-12-09T00:00:00"/>
    <x v="0"/>
    <s v="-"/>
    <s v="ŞEYMANUR ÇEVİK"/>
    <s v="YAPILDI"/>
    <s v="HAYIR"/>
    <n v="80"/>
    <s v="ARALIK"/>
    <n v="500128"/>
    <s v="NILUFER HAZAN CIFCI"/>
    <s v="SAMET KOCABEYOGLU"/>
    <s v="HAYIR"/>
    <s v="HATASIZ ÇAĞRI"/>
    <m/>
    <m/>
    <m/>
  </r>
  <r>
    <s v="ÇAĞRI MERKEZİ"/>
    <s v="*55373326717438"/>
    <n v="5317117084"/>
    <s v="BEDAŞ"/>
    <x v="0"/>
    <n v="600453"/>
    <s v="SEMA NUR KUPCU"/>
    <s v="GORKEM SERT"/>
    <x v="2"/>
    <s v="MÜŞTERİ TEMSİLCİSİ"/>
    <s v="ARIZA"/>
    <x v="2"/>
    <x v="17"/>
    <d v="2025-12-08T00:00:00"/>
    <d v="2025-12-09T00:00:00"/>
    <x v="1"/>
    <s v="-"/>
    <s v="ŞEYMANUR ÇEVİK"/>
    <s v="YAPILDI"/>
    <s v="EVET"/>
    <n v="0"/>
    <s v="ARALIK"/>
    <n v="500160"/>
    <s v="MERVE NUR KOTAN"/>
    <s v="KURSAD TERCANLI"/>
    <s v="HAYIR"/>
    <s v="HATASIZ ÇAĞRI"/>
    <m/>
    <m/>
    <m/>
  </r>
  <r>
    <s v="ÇAĞRI MERKEZİ"/>
    <s v="*99936147220279"/>
    <n v="5416893449"/>
    <s v="BEDAŞ"/>
    <x v="0"/>
    <n v="600611"/>
    <s v="ZEYNEP KOC"/>
    <s v="FERHAT DEMIR"/>
    <x v="2"/>
    <s v="MÜŞTERİ TEMSİLCİSİ"/>
    <s v="ARIZA"/>
    <x v="1"/>
    <x v="1"/>
    <d v="2025-12-07T00:00:00"/>
    <d v="2025-12-09T00:00:00"/>
    <x v="0"/>
    <s v="-"/>
    <s v="ŞEYMANUR ÇEVİK"/>
    <s v="YAPILDI"/>
    <s v="HAYIR"/>
    <n v="96"/>
    <s v="ARALIK"/>
    <n v="500061"/>
    <s v="YASIN CAKAR"/>
    <s v="MEHMET ALI SAVAN"/>
    <s v="HAYIR"/>
    <s v="HATASIZ ÇAĞRI"/>
    <m/>
    <m/>
    <m/>
  </r>
  <r>
    <s v="ÇAĞRI MERKEZİ"/>
    <s v="*44234571216944"/>
    <n v="5333004516"/>
    <s v="BEDAŞ"/>
    <x v="0"/>
    <n v="500177"/>
    <s v="GAMZE VELIOGULLARI"/>
    <s v="SAMET KOCABEYOGLU"/>
    <x v="0"/>
    <s v="MÜŞTERİ TEMSİLCİSİ"/>
    <s v="AYDINLATMA"/>
    <x v="1"/>
    <x v="1"/>
    <d v="2025-12-08T00:00:00"/>
    <d v="2025-12-09T00:00:00"/>
    <x v="2"/>
    <s v="-"/>
    <s v="ŞEYMANUR ÇEVİK"/>
    <s v="YAPILDI"/>
    <s v="EVET"/>
    <n v="0"/>
    <s v="ARALIK"/>
    <n v="500010"/>
    <s v="ALEYNA KARACA"/>
    <s v="ERDOGAN DURUK"/>
    <s v="HAYIR"/>
    <s v="HATASIZ ÇAĞRI"/>
    <m/>
    <m/>
    <m/>
  </r>
  <r>
    <s v="ÇAĞRI MERKEZİ"/>
    <s v="*89260151150727"/>
    <n v="5539332816"/>
    <s v="BEDAŞ"/>
    <x v="0"/>
    <n v="111239"/>
    <s v="HIRANUR KALKAN"/>
    <s v="SEVCAN BULUT"/>
    <x v="1"/>
    <s v="MÜŞTERİ TEMSİLCİSİ"/>
    <s v="ARIZA"/>
    <x v="1"/>
    <x v="7"/>
    <d v="2025-12-09T00:00:00"/>
    <d v="2025-12-09T00:00:00"/>
    <x v="0"/>
    <s v="-"/>
    <s v="ŞEYMANUR ÇEVİK"/>
    <s v="YAPILDI"/>
    <s v="HAYIR"/>
    <n v="88"/>
    <s v="ARALIK"/>
    <n v="111087"/>
    <s v="ASYA ATMACA"/>
    <s v="MUHAMMET AKSU"/>
    <s v="HAYIR"/>
    <s v="HATASIZ ÇAĞRI"/>
    <m/>
    <m/>
    <m/>
  </r>
  <r>
    <s v="ÇAĞRI MERKEZİ"/>
    <s v="*51693170925401"/>
    <n v="5395907773"/>
    <s v="BEDAŞ"/>
    <x v="0"/>
    <n v="111087"/>
    <s v="ASYA ATMACA"/>
    <s v="MUHAMMET AKSU"/>
    <x v="1"/>
    <s v="MÜŞTERİ TEMSİLCİSİ"/>
    <s v="ARIZA"/>
    <x v="0"/>
    <x v="0"/>
    <d v="2025-12-09T00:00:00"/>
    <d v="2025-12-09T00:00:00"/>
    <x v="0"/>
    <s v="-"/>
    <s v="ŞEYMANUR ÇEVİK"/>
    <s v="YAPILDI"/>
    <s v="HAYIR"/>
    <n v="100"/>
    <s v="ARALIK"/>
    <n v="500131"/>
    <s v="SIBEL ATES"/>
    <s v="TURGUT AKDAG"/>
    <s v="EVET"/>
    <s v="HATALI / EKSİK BİLGİ VERME"/>
    <m/>
    <m/>
    <m/>
  </r>
  <r>
    <s v="ÇAĞRI MERKEZİ"/>
    <s v="*50093611422457"/>
    <n v="5353585776"/>
    <s v="BEDAŞ"/>
    <x v="0"/>
    <n v="500037"/>
    <s v="SEYDANUR UCGUL"/>
    <s v="ERDOGAN DURUK"/>
    <x v="0"/>
    <s v="MÜŞTERİ TEMSİLCİSİ"/>
    <s v="AYDINLATMA"/>
    <x v="2"/>
    <x v="17"/>
    <d v="2025-12-08T00:00:00"/>
    <d v="2025-12-09T00:00:00"/>
    <x v="0"/>
    <s v="-"/>
    <s v="ŞEYMANUR ÇEVİK"/>
    <s v="YAPILDI"/>
    <s v="HAYIR"/>
    <n v="100"/>
    <s v="ARALIK"/>
    <n v="500196"/>
    <s v="MUHAMMED IKBAL KARABACAK"/>
    <s v="TURGUT AKDAG"/>
    <s v="EVET"/>
    <s v="HATALI / EKSİK BİLGİ VERME"/>
    <m/>
    <m/>
    <m/>
  </r>
  <r>
    <s v="ÇAĞRI MERKEZİ"/>
    <s v="*88058868679079"/>
    <n v="5384001400"/>
    <s v="AEDAŞ"/>
    <x v="0"/>
    <n v="111238"/>
    <s v="SONGUL DEMIRBAS"/>
    <s v="ERCUMENT GUNESSU"/>
    <x v="1"/>
    <s v="TAKIM LİDERİ"/>
    <s v="AYDINLATMA"/>
    <x v="2"/>
    <x v="5"/>
    <d v="2025-12-09T00:00:00"/>
    <d v="2025-12-10T00:00:00"/>
    <x v="3"/>
    <s v="-"/>
    <s v="ŞEYMANUR ÇEVİK"/>
    <s v="YAPILDI"/>
    <s v="HAYIR"/>
    <n v="70"/>
    <s v="ARALIK"/>
    <n v="110803"/>
    <s v="YASEMIN DALBOY"/>
    <s v="DILAN ORNEK"/>
    <s v="HAYIR"/>
    <s v="HATASIZ ÇAĞRI"/>
    <m/>
    <m/>
    <m/>
  </r>
  <r>
    <s v="ÇAĞRI MERKEZİ"/>
    <s v="*66211991616477"/>
    <n v="5425434849"/>
    <s v="AEDAŞ"/>
    <x v="0"/>
    <n v="110825"/>
    <s v="UMUT YILDIRIM"/>
    <s v="SEVCAN BULUT"/>
    <x v="1"/>
    <s v="MÜŞTERİ TEMSİLCİSİ"/>
    <s v="GENEL TALEPLER"/>
    <x v="1"/>
    <x v="7"/>
    <d v="2025-12-10T00:00:00"/>
    <d v="2025-12-10T00:00:00"/>
    <x v="0"/>
    <s v="-"/>
    <s v="ŞEYMANUR ÇEVİK"/>
    <s v="YAPILMADI"/>
    <s v="HAYIR"/>
    <s v="-"/>
    <s v="ARALIK"/>
    <n v="111205"/>
    <s v="ESRA ATMACA"/>
    <s v="MUHAMMET AKSU"/>
    <s v="HAYIR"/>
    <s v="HATASIZ ÇAĞRI"/>
    <m/>
    <m/>
    <m/>
  </r>
  <r>
    <s v="ÇAĞRI MERKEZİ"/>
    <s v="* 05338097907876"/>
    <n v="5416062994"/>
    <s v="ÇEPSAŞ"/>
    <x v="1"/>
    <n v="111258"/>
    <s v="BUSRA SIMSEK"/>
    <s v="KURTHAN FERDI CIHANTIMUR"/>
    <x v="1"/>
    <s v="MÜŞTERİ TEMSİLCİSİ"/>
    <s v="GENEL TALEPLER"/>
    <x v="2"/>
    <x v="2"/>
    <d v="2025-12-06T00:00:00"/>
    <d v="2025-12-12T00:00:00"/>
    <x v="0"/>
    <s v="-"/>
    <s v="HALİDE PALAVAR"/>
    <s v="YAPILDI"/>
    <s v="HAYIR"/>
    <n v="75"/>
    <s v="ARALIK"/>
    <n v="110547"/>
    <s v="EMRE CAN SUMER"/>
    <s v="CEYHAN AYRIC"/>
    <s v="HAYIR"/>
    <s v="HATASIZ ÇAĞRI"/>
    <m/>
    <m/>
    <m/>
  </r>
  <r>
    <s v="ÇAĞRI MERKEZİ"/>
    <s v="* 92568154070606"/>
    <n v="5333538992"/>
    <s v="BEDAŞ"/>
    <x v="0"/>
    <n v="500196"/>
    <s v="MUHAMMED IKBAL KARABACAK"/>
    <s v="TURGUT AKDAG"/>
    <x v="0"/>
    <s v="MÜŞTERİ TEMSİLCİSİ"/>
    <s v="ARIZA"/>
    <x v="0"/>
    <x v="0"/>
    <d v="2025-12-11T00:00:00"/>
    <d v="2025-12-12T00:00:00"/>
    <x v="0"/>
    <s v="-"/>
    <s v="HALİDE PALAVAR"/>
    <s v="YAPILDI"/>
    <s v="EVET"/>
    <n v="0"/>
    <s v="ARALIK"/>
    <n v="600625"/>
    <s v="UMMUGULSUM DILARA UZUNDERE"/>
    <s v="FERHAT DEMIR"/>
    <s v="HAYIR"/>
    <s v="HATASIZ ÇAĞRI"/>
    <m/>
    <m/>
    <m/>
  </r>
  <r>
    <s v="ÇAĞRI MERKEZİ"/>
    <s v="* 68631031475981"/>
    <n v="5346541208"/>
    <s v="BEDAŞ"/>
    <x v="0"/>
    <n v="500130"/>
    <s v="SEVIL IREM DURUK"/>
    <s v="SAMET KOCABEYOGLU"/>
    <x v="0"/>
    <s v="MÜŞTERİ TEMSİLCİSİ"/>
    <s v="ARIZA"/>
    <x v="2"/>
    <x v="17"/>
    <d v="2025-12-11T00:00:00"/>
    <d v="2025-12-12T00:00:00"/>
    <x v="1"/>
    <s v="-"/>
    <s v="HALİDE PALAVAR"/>
    <s v="YAPILDI"/>
    <s v="EVET"/>
    <n v="0"/>
    <s v="ARALIK"/>
    <n v="500144"/>
    <s v="BAHTINUR LAFCI"/>
    <s v="KURSAD TERCANLI"/>
    <s v="HAYIR"/>
    <s v="HATASIZ ÇAĞRI"/>
    <m/>
    <m/>
    <m/>
  </r>
  <r>
    <s v="ÇAĞRI MERKEZİ"/>
    <s v="*45355374560338 - 24813948826779"/>
    <n v="5308567064"/>
    <s v="BEDAŞ"/>
    <x v="0"/>
    <n v="500089"/>
    <s v="CANAN KUCUKBATMAN"/>
    <s v="METEHAN EMRE SIRMALI"/>
    <x v="0"/>
    <s v="MÜŞTERİ TEMSİLCİSİ"/>
    <s v="GENEL TALEPLER"/>
    <x v="1"/>
    <x v="7"/>
    <d v="2025-12-11T00:00:00"/>
    <d v="2025-12-12T00:00:00"/>
    <x v="0"/>
    <s v="-"/>
    <s v="HALİDE PALAVAR"/>
    <s v="YAPILMADI"/>
    <s v="HAYIR"/>
    <s v="-"/>
    <s v="ARALIK"/>
    <n v="500122"/>
    <s v="EYLUL YILDIRIM"/>
    <s v="SAMET KOCABEYOGLU"/>
    <s v="HAYIR"/>
    <s v="HATASIZ ÇAĞRI"/>
    <m/>
    <m/>
    <m/>
  </r>
  <r>
    <s v="ÇAĞRI MERKEZİ"/>
    <s v="*30981066312734"/>
    <n v="5308567064"/>
    <s v="BEDAŞ"/>
    <x v="0"/>
    <n v="500190"/>
    <s v="SEDEF TEKMAN"/>
    <s v="TURGUT AKDAG"/>
    <x v="0"/>
    <s v="MÜŞTERİ TEMSİLCİSİ"/>
    <s v="GENEL TALEPLER"/>
    <x v="1"/>
    <x v="7"/>
    <d v="2025-12-11T00:00:00"/>
    <d v="2025-12-12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45355374560338 - 24813948826779"/>
    <n v="5308567064"/>
    <s v="BEDAŞ"/>
    <x v="0"/>
    <n v="500144"/>
    <s v="BAHTINUR LAFCI"/>
    <s v="KURSAD TERCANLI"/>
    <x v="0"/>
    <s v="MÜŞTERİ TEMSİLCİSİ"/>
    <s v="GENEL TALEPLER"/>
    <x v="1"/>
    <x v="7"/>
    <d v="2025-12-11T00:00:00"/>
    <d v="2025-12-12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45355374560338 - 24813948826779"/>
    <n v="5308567064"/>
    <s v="BEDAŞ"/>
    <x v="0"/>
    <n v="600641"/>
    <s v="BERFIN SULTAN DAGLI"/>
    <s v="GORKEM SERT"/>
    <x v="2"/>
    <s v="MÜŞTERİ TEMSİLCİSİ"/>
    <s v="GENEL TALEPLER"/>
    <x v="1"/>
    <x v="7"/>
    <d v="2025-12-11T00:00:00"/>
    <d v="2025-12-12T00:00:00"/>
    <x v="0"/>
    <s v="-"/>
    <s v="HALİDE PALAVAR"/>
    <s v="YAPILMADI"/>
    <s v="HAYIR"/>
    <s v="-"/>
    <s v="ARALIK"/>
    <m/>
    <m/>
    <m/>
    <m/>
    <m/>
    <m/>
    <m/>
    <m/>
  </r>
  <r>
    <s v="ÇAĞRI MERKEZİ"/>
    <s v="*23115844499930"/>
    <n v="5536499902"/>
    <s v="AEDAŞ"/>
    <x v="0"/>
    <n v="500170"/>
    <s v="BURAK KAYA"/>
    <s v="ERDOGAN DURUK"/>
    <x v="0"/>
    <s v="MÜŞTERİ TEMSİLCİSİ"/>
    <s v="AYDINLATMA"/>
    <x v="0"/>
    <x v="3"/>
    <d v="2025-12-02T00:00:00"/>
    <d v="2025-12-12T00:00:00"/>
    <x v="0"/>
    <s v="-"/>
    <s v="RUKİYE DEMİRKALE"/>
    <s v="YAPILDI"/>
    <s v="EVET"/>
    <n v="0"/>
    <s v="ARALIK"/>
    <n v="500155"/>
    <s v="FATMA NUR EZGIN"/>
    <s v="KURSAD TERCANLI"/>
    <s v="EVET"/>
    <s v="HATALI / EKSİK BİLGİ VERME"/>
    <m/>
    <m/>
    <m/>
  </r>
  <r>
    <s v="ÇAĞRI MERKEZİ"/>
    <s v="*97102215958176"/>
    <n v="5060005909"/>
    <s v="AEDAŞ"/>
    <x v="0"/>
    <n v="500081"/>
    <s v="BEYZA YAREN TUNCAY"/>
    <s v="SALTUK BUGRAHAN TAYMUS"/>
    <x v="0"/>
    <s v="MÜŞTERİ TEMSİLCİSİ"/>
    <s v="KAÇAK"/>
    <x v="0"/>
    <x v="11"/>
    <d v="2025-12-04T00:00:00"/>
    <d v="2025-12-12T00:00:00"/>
    <x v="2"/>
    <s v="-"/>
    <s v="RUKİYE DEMİRKALE"/>
    <s v="YAPILDI"/>
    <s v="EVET"/>
    <n v="0"/>
    <s v="ARALIK"/>
    <n v="500069"/>
    <s v="HUMEYYA ILAYDA ORS"/>
    <s v="SALTUK BUGRAHAN TAYMUS"/>
    <s v="EVET"/>
    <s v="HATALI / EKSİK BİLGİ VERME"/>
    <m/>
    <m/>
    <m/>
  </r>
  <r>
    <s v="ÇAĞRI MERKEZİ"/>
    <s v="*46826625804579"/>
    <n v="5315565328"/>
    <s v="AEDAŞ"/>
    <x v="0"/>
    <n v="500132"/>
    <s v="SONGUL BEKCI"/>
    <s v="TURGUT AKDAG"/>
    <x v="0"/>
    <s v="MÜŞTERİ TEMSİLCİSİ"/>
    <s v="SAYAÇ İŞLEMLERİ"/>
    <x v="0"/>
    <x v="18"/>
    <d v="2025-12-10T00:00:00"/>
    <d v="2025-12-12T00:00:00"/>
    <x v="1"/>
    <s v="-"/>
    <s v="HALİDE PALAVAR"/>
    <s v="YAPILDI"/>
    <s v="EVET"/>
    <n v="0"/>
    <s v="ARALIK"/>
    <n v="500073"/>
    <s v="MUHAMMED TARIK KUÇUK"/>
    <s v="SALTUK BUGRAHAN TAYMUS"/>
    <s v="HAYIR"/>
    <s v="HATASIZ ÇAĞRI"/>
    <s v="Uzman mt değerlendirilmedi"/>
    <m/>
    <m/>
  </r>
  <r>
    <s v="ÇAĞRI MERKEZİ"/>
    <s v="*36767298461545"/>
    <n v="5322146479"/>
    <s v="BEDAŞ"/>
    <x v="0"/>
    <n v="500063"/>
    <s v="YUSUF ISLAM BOZKURT"/>
    <s v="ERDOGAN DURUK"/>
    <x v="0"/>
    <s v="MÜŞTERİ TEMSİLCİSİ"/>
    <s v="KAÇAK"/>
    <x v="3"/>
    <x v="10"/>
    <d v="2025-12-11T00:00:00"/>
    <d v="2025-12-12T00:00:00"/>
    <x v="4"/>
    <s v="-"/>
    <s v="HALİDE PALAVAR"/>
    <s v="YAPILDI"/>
    <s v="EVET"/>
    <n v="0"/>
    <s v="ARALIK"/>
    <m/>
    <s v="---"/>
    <s v="---"/>
    <m/>
    <m/>
    <m/>
    <m/>
    <m/>
  </r>
  <r>
    <s v="ÇAĞRI MERKEZİ"/>
    <s v="* 16259174022836"/>
    <n v="5427917614"/>
    <s v="BEDAŞ"/>
    <x v="0"/>
    <n v="500195"/>
    <s v="YAREN MARAL TEYMUR"/>
    <s v="SAMET KOCABEYOGLU"/>
    <x v="0"/>
    <s v="MÜŞTERİ TEMSİLCİSİ"/>
    <s v="SAYAÇ İŞLEMLERİ"/>
    <x v="0"/>
    <x v="18"/>
    <d v="2025-12-11T00:00:00"/>
    <d v="2025-12-12T00:00:00"/>
    <x v="1"/>
    <s v="-"/>
    <s v="HALİDE PALAVAR"/>
    <s v="YAPILDI"/>
    <s v="EVET"/>
    <n v="0"/>
    <s v="ARALIK"/>
    <m/>
    <s v="---"/>
    <s v="---"/>
    <m/>
    <m/>
    <m/>
    <m/>
    <m/>
  </r>
  <r>
    <s v="ÇAĞRI MERKEZİ"/>
    <s v="*61233088579921"/>
    <n v="5333533859"/>
    <s v="BEPSAŞ"/>
    <x v="1"/>
    <n v="111108"/>
    <s v="BERKAN COSKUNOZ"/>
    <s v="KURTHAN FERDI CIHANTIMUR"/>
    <x v="1"/>
    <s v="MÜŞTERİ TEMSİLCİSİ"/>
    <s v="FATURA İŞLEMLERİ"/>
    <x v="1"/>
    <x v="1"/>
    <d v="2025-12-02T00:00:00"/>
    <d v="2025-12-15T00:00:00"/>
    <x v="5"/>
    <s v="-"/>
    <s v="HALİDE PALAVAR"/>
    <s v="YAPILDI"/>
    <s v="HAYIR"/>
    <n v="34"/>
    <s v="ARALIK"/>
    <m/>
    <s v="---"/>
    <s v="---"/>
    <m/>
    <m/>
    <m/>
    <m/>
    <m/>
  </r>
  <r>
    <s v="ŞİRKET İÇ BİRİM"/>
    <n v="5395803951"/>
    <n v="5395803951"/>
    <s v="BEPSAŞ"/>
    <x v="1"/>
    <n v="111260"/>
    <s v="ESRA SIMSEK"/>
    <s v="KURTHAN FERDI CIHANTIMUR"/>
    <x v="1"/>
    <s v="MÜŞTERİ TEMSİLCİSİ"/>
    <s v="MÜŞTERİ İŞLEMLERİ"/>
    <x v="2"/>
    <x v="14"/>
    <d v="2025-12-03T00:00:00"/>
    <d v="2025-12-15T00:00:00"/>
    <x v="2"/>
    <s v="-"/>
    <s v="HALİDE PALAVAR"/>
    <s v="YAPILDI"/>
    <s v="EVET"/>
    <n v="0"/>
    <s v="ARALIK"/>
    <m/>
    <s v="---"/>
    <s v="---"/>
    <m/>
    <m/>
    <m/>
    <m/>
    <m/>
  </r>
  <r>
    <s v="ÇAĞRI MERKEZİ"/>
    <s v="*79822573193645"/>
    <n v="5319406308"/>
    <s v="BEDAŞ"/>
    <x v="0"/>
    <n v="500182"/>
    <s v="KADIR OKAY BOGACLI"/>
    <s v="TURGUT AKDAG"/>
    <x v="0"/>
    <s v="MÜŞTERİ TEMSİLCİSİ"/>
    <s v="ARIZA"/>
    <x v="2"/>
    <x v="9"/>
    <d v="2025-12-12T00:00:00"/>
    <d v="2025-12-15T00:00:00"/>
    <x v="0"/>
    <s v="-"/>
    <s v="HALİDE PALAVAR"/>
    <s v="YAPILDI"/>
    <s v="HAYIR"/>
    <n v="85"/>
    <s v="ARALIK"/>
    <n v="500117"/>
    <s v="ZEYNEP KAYA"/>
    <s v="METEHAN EMRE SIRMALI"/>
    <s v="HAYIR"/>
    <s v="HATASIZ ÇAĞRI"/>
    <m/>
    <m/>
    <m/>
  </r>
  <r>
    <s v="ÇAĞRI MERKEZİ"/>
    <s v="*57927713848160"/>
    <n v="5444328601"/>
    <s v="BEDAŞ"/>
    <x v="0"/>
    <n v="500096"/>
    <s v="FURKAN METEROGLU"/>
    <s v="MEHMET ALI SAVAN"/>
    <x v="0"/>
    <s v="MÜŞTERİ TEMSİLCİSİ"/>
    <s v="GENEL TALEPLER"/>
    <x v="2"/>
    <x v="7"/>
    <d v="2025-12-13T00:00:00"/>
    <d v="2025-12-15T00:00:00"/>
    <x v="0"/>
    <s v="-"/>
    <s v="HALİDE PALAVAR"/>
    <s v="YAPILMADI"/>
    <s v="HAYIR"/>
    <s v="-"/>
    <s v="ARALIK"/>
    <n v="500098"/>
    <s v="GAMZE ASLAN"/>
    <s v="MEHMET ALI SAVAN"/>
    <s v="EVET"/>
    <s v="HATALI / EKSİK BİLGİ VERME"/>
    <m/>
    <m/>
    <m/>
  </r>
  <r>
    <s v="ÇAĞRI MERKEZİ"/>
    <s v="* 00034842950884"/>
    <n v="5377658792"/>
    <s v="BEDAŞ"/>
    <x v="0"/>
    <n v="111173"/>
    <s v="CIGDEM CEVATOGLU"/>
    <s v="MUSTAFA OZAYAG"/>
    <x v="1"/>
    <s v="MÜŞTERİ TEMSİLCİSİ"/>
    <s v="SAYAÇ İŞLEMLERİ"/>
    <x v="0"/>
    <x v="18"/>
    <d v="2025-12-13T00:00:00"/>
    <d v="2025-12-15T00:00:00"/>
    <x v="0"/>
    <s v="-"/>
    <s v="HALİDE PALAVAR"/>
    <s v="YAPILDI"/>
    <s v="HAYIR"/>
    <n v="65"/>
    <s v="ARALIK"/>
    <n v="500136"/>
    <s v="SEYMANUR GORMEZ"/>
    <s v="SAMET KOCABEYOGLU"/>
    <s v="EVET"/>
    <s v="HATALI / EKSİK BİLGİ VERME"/>
    <s v="değerlendirme yapılmadı"/>
    <m/>
    <m/>
  </r>
  <r>
    <s v="ÇAĞRI MERKEZİ"/>
    <s v="*34339066028972"/>
    <n v="5537679907"/>
    <s v="BEDAŞ"/>
    <x v="0"/>
    <n v="111249"/>
    <s v="EYUPHAN ATAS"/>
    <s v="SEDA SEBU"/>
    <x v="1"/>
    <s v="MÜŞTERİ TEMSİLCİSİ"/>
    <s v="GENEL TALEPLER"/>
    <x v="2"/>
    <x v="7"/>
    <d v="2025-12-14T00:00:00"/>
    <d v="2025-12-15T00:00:00"/>
    <x v="0"/>
    <s v="-"/>
    <s v="HALİDE PALAVAR"/>
    <s v="YAPILMADI"/>
    <s v="HAYIR"/>
    <s v="-"/>
    <s v="ARALIK"/>
    <n v="111103"/>
    <s v="MUKERREM ACAT"/>
    <s v="MUHAMMET AKSU"/>
    <s v="HAYIR"/>
    <s v="HATASIZ ÇAĞRI"/>
    <m/>
    <m/>
    <m/>
  </r>
  <r>
    <s v="ÇAĞRI MERKEZİ"/>
    <s v="*06923408436665"/>
    <n v="5456508661"/>
    <s v="BEDAŞ"/>
    <x v="0"/>
    <n v="111197"/>
    <s v="SONGUL YAGCI"/>
    <s v="SEDA SEBU"/>
    <x v="1"/>
    <s v="MÜŞTERİ TEMSİLCİSİ"/>
    <s v="ARIZA"/>
    <x v="0"/>
    <x v="0"/>
    <d v="2025-12-14T00:00:00"/>
    <d v="2025-12-15T00:00:00"/>
    <x v="0"/>
    <s v="-"/>
    <s v="HALİDE PALAVAR"/>
    <s v="YAPILDI"/>
    <s v="HAYIR"/>
    <n v="100"/>
    <s v="ARALIK"/>
    <n v="500050"/>
    <s v="GOZDENUR YILMAZ"/>
    <s v="MEHMET ALI SAVAN"/>
    <s v="HAYIR"/>
    <s v="HATASIZ ÇAĞRI"/>
    <m/>
    <m/>
    <m/>
  </r>
  <r>
    <s v="ÇAĞRI MERKEZİ"/>
    <s v="*09273024475149"/>
    <n v="5466766546"/>
    <s v="AEDAŞ"/>
    <x v="0"/>
    <n v="500150"/>
    <s v="ELIF BOGATEKIN"/>
    <s v="KURSAD TERCANLI"/>
    <x v="0"/>
    <s v="MÜŞTERİ TEMSİLCİSİ"/>
    <s v="ARIZA"/>
    <x v="2"/>
    <x v="5"/>
    <d v="2025-12-06T00:00:00"/>
    <d v="2025-12-15T00:00:00"/>
    <x v="0"/>
    <s v="-"/>
    <s v="HALİDE PALAVAR"/>
    <s v="YAPILDI"/>
    <s v="HAYIR"/>
    <n v="85"/>
    <s v="ARALIK"/>
    <m/>
    <s v="---"/>
    <s v="---"/>
    <m/>
    <m/>
    <m/>
    <m/>
    <m/>
  </r>
  <r>
    <s v="ÇAĞRI MERKEZİ"/>
    <s v="* 74642961089469"/>
    <n v="2165313030"/>
    <s v="BEPSAŞ"/>
    <x v="1"/>
    <n v="111031"/>
    <s v="MUHAMMED EREN KAYA"/>
    <s v="YAREN OZAYAG"/>
    <x v="1"/>
    <s v="MÜŞTERİ TEMSİLCİSİ"/>
    <s v="MÜŞTERİ İŞLEMLERİ"/>
    <x v="2"/>
    <x v="2"/>
    <d v="2025-12-10T00:00:00"/>
    <d v="2025-12-15T00:00:00"/>
    <x v="0"/>
    <s v="-"/>
    <s v="HALİDE PALAVAR"/>
    <s v="YAPILDI"/>
    <s v="HAYIR"/>
    <n v="90"/>
    <s v="ARALIK"/>
    <n v="111285"/>
    <s v="AYCE IDIL ERKMEN"/>
    <s v="YAPRAK KARAKOC"/>
    <s v="HAYIR"/>
    <s v="HATASIZ ÇAĞRI"/>
    <m/>
    <m/>
    <m/>
  </r>
  <r>
    <s v="ÇAĞRI MERKEZİ"/>
    <s v="*09273024475149"/>
    <n v="5466766546"/>
    <s v="AEDAŞ"/>
    <x v="0"/>
    <n v="500110"/>
    <s v="OMER BAYRAM"/>
    <s v="METEHAN EMRE SIRMALI"/>
    <x v="0"/>
    <s v="MÜŞTERİ TEMSİLCİSİ"/>
    <s v="ARIZA"/>
    <x v="2"/>
    <x v="5"/>
    <d v="2025-12-06T00:00:00"/>
    <d v="2025-12-15T00:00:00"/>
    <x v="0"/>
    <s v="-"/>
    <s v="HALİDE PALAVAR"/>
    <s v="YAPILDI"/>
    <s v="HAYIR"/>
    <n v="90"/>
    <s v="ARALIK"/>
    <m/>
    <s v="---"/>
    <s v="---"/>
    <m/>
    <m/>
    <m/>
    <m/>
    <m/>
  </r>
  <r>
    <s v="ÇAĞRI MERKEZİ"/>
    <s v="*70163017255752"/>
    <n v="5433361944"/>
    <s v="BEPSAŞ"/>
    <x v="1"/>
    <n v="600592"/>
    <s v="MELIKE ILAYDA CAL"/>
    <s v="ASYA DAG"/>
    <x v="2"/>
    <s v="TAKIM LİDERİ"/>
    <s v="FATURA İŞLEMLERİ"/>
    <x v="3"/>
    <x v="10"/>
    <d v="2025-12-11T00:00:00"/>
    <d v="2025-12-15T00:00:00"/>
    <x v="5"/>
    <s v="-"/>
    <s v="HALİDE PALAVAR"/>
    <s v="YAPILDI"/>
    <s v="HAYIR"/>
    <n v="90"/>
    <s v="ARALIK"/>
    <m/>
    <s v="---"/>
    <s v="---"/>
    <m/>
    <m/>
    <m/>
    <m/>
    <m/>
  </r>
  <r>
    <s v="ÇAĞRI MERKEZİ"/>
    <s v="*43933102591353"/>
    <n v="5422161903"/>
    <s v="BEPSAŞ"/>
    <x v="1"/>
    <n v="500087"/>
    <s v="DILANUR KOMUR"/>
    <s v="SALTUK BUGRAHAN TAYMUS"/>
    <x v="0"/>
    <s v="MÜŞTERİ TEMSİLCİSİ"/>
    <s v="GENEL TALEPLER"/>
    <x v="2"/>
    <x v="7"/>
    <d v="2025-12-11T00:00:00"/>
    <d v="2025-12-15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43933102591353"/>
    <n v="5422161903"/>
    <s v="BEPSAŞ"/>
    <x v="1"/>
    <n v="500089"/>
    <s v="CANAN KUCUKBATMAN"/>
    <s v="METEHAN EMRE SIRMALI"/>
    <x v="0"/>
    <s v="MÜŞTERİ TEMSİLCİSİ"/>
    <s v="GENEL TALEPLER"/>
    <x v="2"/>
    <x v="7"/>
    <d v="2025-12-11T00:00:00"/>
    <d v="2025-12-15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43933102591353"/>
    <n v="5422161903"/>
    <s v="BEPSAŞ"/>
    <x v="1"/>
    <n v="111251"/>
    <s v="HABIBE KESKIN"/>
    <s v="YAREN OZAYAG"/>
    <x v="1"/>
    <s v="MÜŞTERİ TEMSİLCİSİ"/>
    <s v="GENEL TALEPLER"/>
    <x v="2"/>
    <x v="7"/>
    <d v="2025-12-11T00:00:00"/>
    <d v="2025-12-15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43933102591353"/>
    <n v="5422161903"/>
    <s v="BEPSAŞ"/>
    <x v="1"/>
    <n v="111049"/>
    <s v="BUSRA YILDIRIM"/>
    <s v="YAREN OZAYAG"/>
    <x v="1"/>
    <s v="MÜŞTERİ TEMSİLCİSİ"/>
    <s v="GENEL TALEPLER"/>
    <x v="2"/>
    <x v="7"/>
    <d v="2025-12-11T00:00:00"/>
    <d v="2025-12-15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 44427200792825"/>
    <n v="5378146222"/>
    <s v="BEPSAŞ"/>
    <x v="1"/>
    <n v="111267"/>
    <s v="ZEYNEL ARIF BOGATU"/>
    <s v="MUSTAFA OZAYAG"/>
    <x v="1"/>
    <s v="MÜŞTERİ TEMSİLCİSİ"/>
    <s v="MÜŞTERİ İŞLEMLERİ"/>
    <x v="2"/>
    <x v="5"/>
    <d v="2025-12-11T00:00:00"/>
    <d v="2025-12-15T00:00:00"/>
    <x v="0"/>
    <s v="-"/>
    <s v="HALİDE PALAVAR"/>
    <s v="YAPILDI"/>
    <s v="HAYIR"/>
    <n v="46"/>
    <s v="ARALIK"/>
    <n v="110434"/>
    <s v="SULTAN KAYA"/>
    <s v="ERCUMENT GUNESSU"/>
    <s v="HAYIR"/>
    <s v="HATASIZ ÇAĞRI"/>
    <m/>
    <m/>
    <m/>
  </r>
  <r>
    <s v="ÇAĞRI MERKEZİ"/>
    <s v="* 29423756890582"/>
    <n v="5324507799"/>
    <s v="BEPSAŞ"/>
    <x v="1"/>
    <m/>
    <s v="- - - "/>
    <s v="- - -"/>
    <x v="4"/>
    <s v="- - -"/>
    <m/>
    <x v="4"/>
    <x v="16"/>
    <d v="2025-12-12T00:00:00"/>
    <d v="2025-12-15T00:00:00"/>
    <x v="0"/>
    <s v="-"/>
    <s v="HALİDE PALAVAR"/>
    <s v="YAPILMADI"/>
    <s v="HAYIR"/>
    <s v="-"/>
    <s v="ARALIK"/>
    <n v="600617"/>
    <s v="ELMAS  AKSOY"/>
    <s v="İNAN UMUT ÖRNEK "/>
    <s v="HAYIR"/>
    <s v="HATASIZ ÇAĞRI"/>
    <m/>
    <m/>
    <m/>
  </r>
  <r>
    <s v="ÇAĞRI MERKEZİ"/>
    <s v="* 53094218547675"/>
    <n v="5439321960"/>
    <s v="BEPSAŞ"/>
    <x v="1"/>
    <n v="111219"/>
    <s v="HAMZA ADIGUZELLI"/>
    <s v="SEDA SEBU"/>
    <x v="1"/>
    <s v="MÜŞTERİ TEMSİLCİSİ"/>
    <s v="GENEL TALEPLER"/>
    <x v="2"/>
    <x v="7"/>
    <d v="2025-12-12T00:00:00"/>
    <d v="2025-12-15T00:00:00"/>
    <x v="0"/>
    <s v="-"/>
    <s v="HALİDE PALAVAR"/>
    <s v="YAPILMADI"/>
    <s v="HAYIR"/>
    <s v="-"/>
    <s v="ARALIK"/>
    <n v="111275"/>
    <s v="BERAT YADIGAR"/>
    <s v="SEDA SEBU"/>
    <s v="HAYIR"/>
    <s v="HATASIZ ÇAĞRI"/>
    <m/>
    <m/>
    <m/>
  </r>
  <r>
    <s v="ÇAĞRI MERKEZİ"/>
    <s v="*17317395401817"/>
    <n v="5056306444"/>
    <s v="BEPSAŞ"/>
    <x v="1"/>
    <n v="111044"/>
    <s v="MEHMET EKREM YALCIN"/>
    <s v="DILAN ORNEK"/>
    <x v="1"/>
    <s v="MÜŞTERİ TEMSİLCİSİ"/>
    <s v="MÜŞTERİ İŞLEMLERİ"/>
    <x v="3"/>
    <x v="10"/>
    <d v="2025-12-12T00:00:00"/>
    <d v="2025-12-15T00:00:00"/>
    <x v="5"/>
    <s v="-"/>
    <s v="HALİDE PALAVAR"/>
    <s v="YAPILDI"/>
    <s v="HAYIR"/>
    <n v="100"/>
    <s v="ARALIK"/>
    <m/>
    <s v="---"/>
    <s v="---"/>
    <m/>
    <m/>
    <m/>
    <m/>
    <m/>
  </r>
  <r>
    <s v="ÇAĞRI MERKEZİ"/>
    <s v="* 20071763148419"/>
    <n v="5377863823"/>
    <s v="BEPSAŞ"/>
    <x v="1"/>
    <n v="210454"/>
    <s v="ERGUL GUMUS"/>
    <s v="KURTHAN FERDI CIHANTIMUR"/>
    <x v="1"/>
    <s v="MÜŞTERİ TEMSİLCİSİ"/>
    <s v="GENEL TALEPLER"/>
    <x v="2"/>
    <x v="7"/>
    <d v="2025-12-13T00:00:00"/>
    <d v="2025-12-15T00:00:00"/>
    <x v="0"/>
    <s v="-"/>
    <s v="HALİDE PALAVAR"/>
    <s v="YAPILMADI"/>
    <s v="HAYIR"/>
    <s v="-"/>
    <s v="ARALIK"/>
    <n v="111258"/>
    <s v="BUSRA SIMSEK"/>
    <s v="KURTHAN FERDI CIHANTIMUR"/>
    <s v="HAYIR"/>
    <s v="HATASIZ ÇAĞRI"/>
    <m/>
    <m/>
    <m/>
  </r>
  <r>
    <s v="ÇAĞRI MERKEZİ"/>
    <s v="*94673035066354"/>
    <n v="5418845970"/>
    <s v="BEPSAŞ"/>
    <x v="1"/>
    <n v="111262"/>
    <s v="FURKAN KAYA"/>
    <s v="SEDA SEBU"/>
    <x v="1"/>
    <s v="MÜŞTERİ TEMSİLCİSİ"/>
    <s v="MÜŞTERİ İŞLEMLERİ"/>
    <x v="2"/>
    <x v="5"/>
    <d v="2025-12-14T00:00:00"/>
    <d v="2025-12-16T00:00:00"/>
    <x v="0"/>
    <s v="-"/>
    <s v="HALİDE PALAVAR"/>
    <s v="YAPILDI"/>
    <s v="EVET"/>
    <n v="0"/>
    <s v="ARALIK"/>
    <m/>
    <s v="---"/>
    <s v="---"/>
    <m/>
    <m/>
    <m/>
    <m/>
    <m/>
  </r>
  <r>
    <s v="ÇAĞRI MERKEZİ"/>
    <s v="*19173623208795"/>
    <n v="5425106457"/>
    <s v="BEDAŞ"/>
    <x v="0"/>
    <n v="111173"/>
    <s v="CIGDEM CEVATOGLU"/>
    <s v="MUSTAFA OZAYAG"/>
    <x v="1"/>
    <s v="MÜŞTERİ TEMSİLCİSİ"/>
    <s v="GENEL TALEPLER"/>
    <x v="2"/>
    <x v="7"/>
    <d v="2025-12-15T00:00:00"/>
    <d v="2025-12-16T00:00:00"/>
    <x v="0"/>
    <s v="-"/>
    <s v="HALİDE PALAVAR"/>
    <s v="YAPILMADI"/>
    <s v="HAYIR"/>
    <s v="-"/>
    <s v="ARALIK"/>
    <n v="500184"/>
    <s v="MUHAMMED MERTAN KARABAK"/>
    <s v="TURGUT AKDAG"/>
    <s v="HAYIR"/>
    <s v="HATASIZ ÇAĞRI"/>
    <m/>
    <m/>
    <m/>
  </r>
  <r>
    <s v="ÇAĞRI MERKEZİ"/>
    <s v="* 74437656586046"/>
    <n v="5379174019"/>
    <s v="BEDAŞ"/>
    <x v="0"/>
    <n v="500127"/>
    <s v="MUHAMMED ULAS TOREMEN"/>
    <s v="TURGUT AKDAG"/>
    <x v="0"/>
    <s v="MÜŞTERİ TEMSİLCİSİ"/>
    <s v="GENEL TALEPLER"/>
    <x v="2"/>
    <x v="7"/>
    <d v="2025-12-15T00:00:00"/>
    <d v="2025-12-16T00:00:00"/>
    <x v="0"/>
    <s v="-"/>
    <s v="HALİDE PALAVAR"/>
    <s v="YAPILMADI"/>
    <s v="HAYIR"/>
    <s v="-"/>
    <s v="ARALIK"/>
    <n v="500070"/>
    <s v="IREM NAZ OGUZ"/>
    <s v="SALTUK BUGRAHAN TAYMUS"/>
    <s v="HAYIR"/>
    <s v="HATASIZ ÇAĞRI"/>
    <m/>
    <m/>
    <m/>
  </r>
  <r>
    <s v="ÇAĞRI MERKEZİ"/>
    <s v="* 74437656586046"/>
    <n v="5379174019"/>
    <s v="BEDAŞ"/>
    <x v="0"/>
    <n v="111246"/>
    <s v="YASIN DIREK"/>
    <s v="SEVCAN BULUT"/>
    <x v="1"/>
    <s v="MÜŞTERİ TEMSİLCİSİ"/>
    <s v="GENEL TALEPLER"/>
    <x v="2"/>
    <x v="7"/>
    <d v="2025-12-15T00:00:00"/>
    <d v="2025-12-16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 74437656586046"/>
    <n v="5379174019"/>
    <s v="BEDAŞ"/>
    <x v="0"/>
    <n v="500180"/>
    <s v="IKRANUR KARABULUT"/>
    <s v="TURGUT AKDAG"/>
    <x v="0"/>
    <s v="MÜŞTERİ TEMSİLCİSİ"/>
    <s v="GENEL TALEPLER"/>
    <x v="2"/>
    <x v="7"/>
    <d v="2025-12-15T00:00:00"/>
    <d v="2025-12-16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09273024475149"/>
    <n v="5466766546"/>
    <s v="AEDAŞ"/>
    <x v="0"/>
    <n v="500031"/>
    <s v="OZGEN ERTEK"/>
    <s v="ERDOGAN DURUK"/>
    <x v="0"/>
    <s v="MÜŞTERİ TEMSİLCİSİ"/>
    <s v="ARIZA"/>
    <x v="2"/>
    <x v="5"/>
    <d v="2025-12-06T00:00:00"/>
    <d v="2025-12-16T00:00:00"/>
    <x v="0"/>
    <s v="-"/>
    <s v="HALİDE PALAVAR"/>
    <s v="YAPILDI"/>
    <s v="HAYIR"/>
    <n v="84"/>
    <s v="ARALIK"/>
    <n v="500024"/>
    <s v="MERVE URUK"/>
    <s v="ERDOGAN DURUK"/>
    <s v="HAYIR"/>
    <s v="HATASIZ ÇAĞRI"/>
    <m/>
    <m/>
    <m/>
  </r>
  <r>
    <s v="ÇAĞRI MERKEZİ"/>
    <s v="*09273024475149"/>
    <n v="5466766546"/>
    <s v="AEDAŞ"/>
    <x v="0"/>
    <n v="500195"/>
    <s v="YAREN MARAL TEYMUR"/>
    <s v="SAMET KOCABEYOGLU"/>
    <x v="0"/>
    <s v="MÜŞTERİ TEMSİLCİSİ"/>
    <s v="ARIZA"/>
    <x v="2"/>
    <x v="5"/>
    <d v="2025-12-06T00:00:00"/>
    <d v="2025-12-16T00:00:00"/>
    <x v="0"/>
    <s v="-"/>
    <s v="HALİDE PALAVAR"/>
    <s v="YAPILDI"/>
    <s v="EVET"/>
    <n v="0"/>
    <s v="ARALIK"/>
    <m/>
    <s v="---"/>
    <s v="---"/>
    <m/>
    <m/>
    <m/>
    <m/>
    <m/>
  </r>
  <r>
    <s v="ÇAĞRI MERKEZİ"/>
    <s v="*09273024475149"/>
    <n v="5466766546"/>
    <s v="AEDAŞ"/>
    <x v="0"/>
    <n v="111210"/>
    <s v="SIMGE KANBAY"/>
    <s v="SAFAK TOPTAS"/>
    <x v="1"/>
    <s v="MÜŞTERİ TEMSİLCİSİ"/>
    <s v="ARIZA"/>
    <x v="2"/>
    <x v="5"/>
    <d v="2025-12-07T00:00:00"/>
    <d v="2025-12-16T00:00:00"/>
    <x v="0"/>
    <s v="-"/>
    <s v="HALİDE PALAVAR"/>
    <s v="YAPILDI"/>
    <s v="HAYIR"/>
    <n v="88"/>
    <s v="ARALIK"/>
    <m/>
    <s v="---"/>
    <s v="---"/>
    <m/>
    <m/>
    <m/>
    <m/>
    <m/>
  </r>
  <r>
    <s v="ÇAĞRI MERKEZİ"/>
    <s v="*76530548284458"/>
    <n v="5312094846"/>
    <s v="BEPSAŞ"/>
    <x v="1"/>
    <n v="600642"/>
    <s v="BUSENUR TAPAN"/>
    <s v="FERHAT DEMIR"/>
    <x v="2"/>
    <s v="TAKIM LİDERİ"/>
    <s v="FATURA İŞLEMLERİ"/>
    <x v="2"/>
    <x v="7"/>
    <d v="2025-12-12T00:00:00"/>
    <d v="2025-12-16T00:00:00"/>
    <x v="0"/>
    <s v="-"/>
    <s v="HALİDE PALAVAR"/>
    <s v="YAPILMADI"/>
    <s v="HAYIR"/>
    <s v="-"/>
    <s v="ARALIK"/>
    <n v="111266"/>
    <s v="YUSUF ALI TEPE"/>
    <s v="ERCUMENT GUNESSU"/>
    <s v="HAYIR"/>
    <s v="HATASIZ ÇAĞRI"/>
    <m/>
    <m/>
    <m/>
  </r>
  <r>
    <s v="ÇAĞRI MERKEZİ"/>
    <s v="*93601539171810"/>
    <n v="5335593203"/>
    <s v="BEDAŞ"/>
    <x v="0"/>
    <n v="500109"/>
    <s v="MUHAMMET EMIN AKSAKAL"/>
    <s v="METEHAN EMRE SIRMALI"/>
    <x v="0"/>
    <s v="MÜŞTERİ TEMSİLCİSİ"/>
    <s v="AÇMA KESME"/>
    <x v="2"/>
    <x v="5"/>
    <d v="2025-12-03T00:00:00"/>
    <d v="2025-12-05T00:00:00"/>
    <x v="0"/>
    <s v="-"/>
    <s v="ŞEYMANUR ÇEVİK"/>
    <s v="YAPILDI"/>
    <s v="EVET"/>
    <n v="0"/>
    <s v="ARALIK"/>
    <s v="-"/>
    <s v="-"/>
    <s v="-"/>
    <s v="-"/>
    <s v="-"/>
    <m/>
    <m/>
    <m/>
  </r>
  <r>
    <s v="ÇAĞRI MERKEZİ"/>
    <s v="*37012218012936"/>
    <n v="5417157848"/>
    <s v="AEDAŞ"/>
    <x v="0"/>
    <n v="500050"/>
    <s v="GOZDENUR YILMAZ"/>
    <s v="MEHMET ALI SAVAN"/>
    <x v="0"/>
    <s v="MÜŞTERİ TEMSİLCİSİ"/>
    <s v="ARIZA"/>
    <x v="2"/>
    <x v="5"/>
    <d v="2025-12-03T00:00:00"/>
    <d v="2025-12-05T00:00:00"/>
    <x v="3"/>
    <s v="-"/>
    <s v="ŞEYMANUR ÇEVİK"/>
    <s v="YAPILDI"/>
    <s v="HAYIR"/>
    <n v="65"/>
    <s v="ARALIK"/>
    <n v="500070"/>
    <s v="IREM NAZ OGUZ"/>
    <s v="SALTUK BUGRAHAN TAYMUS"/>
    <s v="HAYIR"/>
    <s v="HATASIZ ÇAĞRI"/>
    <m/>
    <m/>
    <m/>
  </r>
  <r>
    <s v="ÇAĞRI MERKEZİ"/>
    <s v="*41697076777005"/>
    <n v="5070565331"/>
    <s v="AEDAŞ"/>
    <x v="0"/>
    <n v="110922"/>
    <s v="GOKHAN ILKHAN"/>
    <s v="CEYHAN AYRIC"/>
    <x v="1"/>
    <s v="MÜŞTERİ TEMSİLCİSİ"/>
    <s v="KAÇAK"/>
    <x v="2"/>
    <x v="5"/>
    <d v="2025-12-03T00:00:00"/>
    <d v="2025-12-05T00:00:00"/>
    <x v="0"/>
    <s v="-"/>
    <s v="ŞEYMANUR ÇEVİK"/>
    <s v="YAPILDI"/>
    <s v="HAYIR"/>
    <n v="100"/>
    <s v="ARALIK"/>
    <n v="500080"/>
    <s v="FERRAH DELAL DEMIR"/>
    <s v="SALTUK BUGRAHAN TAYMUS"/>
    <s v="EVET"/>
    <s v="HATALI / EKSİK BİLGİ VERME"/>
    <m/>
    <m/>
    <m/>
  </r>
  <r>
    <s v="ÇAĞRI MERKEZİ"/>
    <s v="*41697076777005"/>
    <n v="5070565331"/>
    <s v="AEDAŞ"/>
    <x v="0"/>
    <n v="500169"/>
    <s v="BAHADIR EMINER"/>
    <s v="MEHMET ALI SAVAN"/>
    <x v="0"/>
    <s v="MÜŞTERİ TEMSİLCİSİ"/>
    <s v="KAÇAK"/>
    <x v="2"/>
    <x v="2"/>
    <d v="2025-12-03T00:00:00"/>
    <d v="2025-12-05T00:00:00"/>
    <x v="1"/>
    <s v="-"/>
    <s v="ŞEYMANUR ÇEVİK"/>
    <s v="YAPILDI"/>
    <s v="EVET"/>
    <n v="0"/>
    <s v="ARALIK"/>
    <n v="500080"/>
    <s v="FERRAH DELAL DEMIR"/>
    <s v="SALTUK BUGRAHAN TAYMUS"/>
    <s v="EVET"/>
    <s v="HATALI / EKSİK BİLGİ VERME"/>
    <m/>
    <m/>
    <m/>
  </r>
  <r>
    <s v="ÇAĞRI MERKEZİ"/>
    <s v="*32872892515175"/>
    <n v="5394838377"/>
    <s v="BEDAŞ"/>
    <x v="0"/>
    <n v="500193"/>
    <s v="SEYDA IGIT"/>
    <s v="SAMET KOCABEYOGLU"/>
    <x v="0"/>
    <s v="MÜŞTERİ TEMSİLCİSİ"/>
    <s v="KAÇAK"/>
    <x v="0"/>
    <x v="11"/>
    <d v="2025-12-02T00:00:00"/>
    <d v="2025-12-04T00:00:00"/>
    <x v="2"/>
    <s v="-"/>
    <s v="ŞEYMANUR ÇEVİK"/>
    <s v="YAPILDI"/>
    <s v="EVET"/>
    <n v="0"/>
    <s v="ARALIK"/>
    <n v="500127"/>
    <s v="MUHAMMED ULAS TOREMEN"/>
    <s v="TURGUT AKDAG"/>
    <s v="EVET"/>
    <s v="HATALI / EKSİK BİLGİ VERME"/>
    <m/>
    <m/>
    <m/>
  </r>
  <r>
    <s v="ÇAĞRI MERKEZİ"/>
    <s v="*46161963736914"/>
    <n v="5307752867"/>
    <s v="BEDAŞ"/>
    <x v="0"/>
    <n v="111241"/>
    <s v="GURKAN KILDIS"/>
    <s v="YAPRAK KARAKOC"/>
    <x v="1"/>
    <s v="MÜŞTERİ TEMSİLCİSİ"/>
    <s v="ARIZA"/>
    <x v="0"/>
    <x v="0"/>
    <d v="2025-12-02T00:00:00"/>
    <d v="2025-12-04T00:00:00"/>
    <x v="0"/>
    <s v="-"/>
    <s v="ŞEYMANUR ÇEVİK"/>
    <s v="YAPILDI"/>
    <s v="HAYIR"/>
    <n v="100"/>
    <s v="ARALIK"/>
    <n v="210463"/>
    <s v="SIBEL KOCAK"/>
    <s v="DILAN ORNEK"/>
    <s v="HAYIR"/>
    <s v="HATASIZ ÇAĞRI"/>
    <m/>
    <m/>
    <m/>
  </r>
  <r>
    <s v="ÇAĞRI MERKEZİ"/>
    <s v="*46161963736914"/>
    <n v="5307752867"/>
    <s v="BEDAŞ"/>
    <x v="0"/>
    <n v="500015"/>
    <s v="DOGAN KOCAK"/>
    <s v="ERDOGAN DURUK"/>
    <x v="0"/>
    <s v="MÜŞTERİ TEMSİLCİSİ"/>
    <s v="ARIZA"/>
    <x v="0"/>
    <x v="0"/>
    <d v="2025-12-02T00:00:00"/>
    <d v="2025-12-04T00:00:00"/>
    <x v="0"/>
    <s v="-"/>
    <s v="ŞEYMANUR ÇEVİK"/>
    <s v="YAPILDI"/>
    <s v="HAYIR"/>
    <n v="78"/>
    <s v="ARALIK"/>
    <n v="210463"/>
    <s v="SIBEL KOCAK"/>
    <s v="DILAN ORNEK"/>
    <s v="HAYIR"/>
    <s v="HATASIZ ÇAĞRI"/>
    <m/>
    <m/>
    <m/>
  </r>
  <r>
    <s v="ÇAĞRI MERKEZİ"/>
    <s v="*58781917763135"/>
    <n v="5323540384"/>
    <s v="AEDAŞ"/>
    <x v="0"/>
    <n v="500129"/>
    <s v="SERKAN ARICI"/>
    <s v="TURGUT AKDAG"/>
    <x v="0"/>
    <s v="MÜŞTERİ TEMSİLCİSİ"/>
    <s v="ARIZA"/>
    <x v="3"/>
    <x v="10"/>
    <d v="2025-12-05T00:00:00"/>
    <d v="2025-12-09T00:00:00"/>
    <x v="5"/>
    <s v="-"/>
    <s v="ŞEYMANUR ÇEVİK"/>
    <s v="YAPILDI"/>
    <s v="EVET"/>
    <n v="0"/>
    <s v="ARALIK"/>
    <n v="500109"/>
    <s v="MUHAMMET EMIN AKSAKAL"/>
    <s v="METEHAN EMRE SIRMALI"/>
    <s v="HAYIR"/>
    <s v="HATASIZ ÇAĞRI"/>
    <m/>
    <m/>
    <m/>
  </r>
  <r>
    <s v="ÇAĞRI MERKEZİ"/>
    <s v="*51693170925401"/>
    <n v="5395907773"/>
    <s v="BEDAŞ"/>
    <x v="0"/>
    <n v="500131"/>
    <s v="SIBEL ATES"/>
    <s v="TURGUT AKDAG"/>
    <x v="0"/>
    <s v="MÜŞTERİ TEMSİLCİSİ"/>
    <s v="ARIZA"/>
    <x v="0"/>
    <x v="0"/>
    <d v="2025-12-09T00:00:00"/>
    <d v="2025-12-09T00:00:00"/>
    <x v="0"/>
    <s v="-"/>
    <s v="ŞEYMANUR ÇEVİK"/>
    <s v="YAPILDI"/>
    <s v="EVET"/>
    <n v="0"/>
    <s v="ARALIK"/>
    <s v="-"/>
    <s v="-"/>
    <s v="-"/>
    <s v="-"/>
    <s v="-"/>
    <m/>
    <m/>
    <m/>
  </r>
  <r>
    <s v="ÇAĞRI MERKEZİ"/>
    <s v="*16677318875516"/>
    <n v="5323966902"/>
    <s v="BEDAŞ"/>
    <x v="0"/>
    <n v="600351"/>
    <s v="FEYZA FATMA YALDIZ"/>
    <s v="HALIL EREN YILDIZ"/>
    <x v="2"/>
    <s v="MÜŞTERİ TEMSİLCİSİ"/>
    <s v="AYDINLATMA"/>
    <x v="2"/>
    <x v="5"/>
    <d v="2025-12-06T00:00:00"/>
    <d v="2025-12-09T00:00:00"/>
    <x v="0"/>
    <s v="-"/>
    <s v="ŞEYMANUR ÇEVİK"/>
    <s v="YAPILDI"/>
    <s v="HAYIR"/>
    <m/>
    <s v="ARALIK"/>
    <n v="500109"/>
    <s v="MUHAMMET EMIN AKSAKAL"/>
    <s v="METEHAN EMRE SIRMALI"/>
    <s v="EVET"/>
    <s v="HATALI / EKSİK BİLGİ VERME"/>
    <m/>
    <m/>
    <m/>
  </r>
  <r>
    <s v="ÇAĞRI MERKEZİ"/>
    <s v="*50093611422457"/>
    <n v="5353585776"/>
    <s v="BEDAŞ"/>
    <x v="0"/>
    <n v="600661"/>
    <s v="ZEYNEP TEKELI"/>
    <s v="BUSRA OLCULMUS"/>
    <x v="2"/>
    <s v="MÜŞTERİ TEMSİLCİSİ"/>
    <s v="AYDINLATMA"/>
    <x v="2"/>
    <x v="17"/>
    <d v="2025-12-08T00:00:00"/>
    <d v="2025-12-09T00:00:00"/>
    <x v="0"/>
    <s v="-"/>
    <s v="ŞEYMANUR ÇEVİK"/>
    <s v="YAPILDI"/>
    <s v="EVET"/>
    <n v="0"/>
    <s v="ARALIK"/>
    <n v="500196"/>
    <s v="MUHAMMED IKBAL KARABACAK"/>
    <s v="TURGUT AKDAG"/>
    <s v="EVET"/>
    <s v="HATALI / EKSİK BİLGİ VERME"/>
    <m/>
    <m/>
    <m/>
  </r>
  <r>
    <s v="ÇAĞRI MERKEZİ"/>
    <s v="*40653301716386"/>
    <n v="5454583315"/>
    <s v="BEPSAŞ"/>
    <x v="1"/>
    <n v="600725"/>
    <s v="KEZBAN TILER"/>
    <s v="BUSRA OLCULMUS"/>
    <x v="2"/>
    <s v="MÜŞTERİ TEMSİLCİSİ"/>
    <s v="FATURA İŞLEMLERİ"/>
    <x v="2"/>
    <x v="5"/>
    <d v="2025-12-08T00:00:00"/>
    <d v="2025-12-10T00:00:00"/>
    <x v="2"/>
    <s v="-"/>
    <s v="ŞEYMANUR ÇEVİK"/>
    <s v="YAPILDI"/>
    <s v="EVET"/>
    <n v="0"/>
    <s v="ARALIK"/>
    <s v="-"/>
    <s v="-"/>
    <s v="-"/>
    <s v="-"/>
    <s v="-"/>
    <m/>
    <m/>
    <m/>
  </r>
  <r>
    <s v="ÇAĞRI MERKEZİ"/>
    <s v="*33877520054200"/>
    <n v="5332489543"/>
    <s v="BEPSAŞ"/>
    <x v="1"/>
    <n v="111050"/>
    <s v="CIHAN CAN ARAR"/>
    <s v="YAREN OZAYAG"/>
    <x v="1"/>
    <s v="MÜŞTERİ TEMSİLCİSİ"/>
    <s v="MÜŞTERİ İŞLEMLERİ"/>
    <x v="1"/>
    <x v="1"/>
    <d v="2025-12-08T00:00:00"/>
    <d v="2025-12-10T00:00:00"/>
    <x v="2"/>
    <s v="-"/>
    <s v="ŞEYMANUR ÇEVİK"/>
    <s v="YAPILDI"/>
    <s v="EVET"/>
    <n v="0"/>
    <s v="ARALIK"/>
    <n v="600399"/>
    <s v="YALCIN POYRAZ"/>
    <s v="INAN UMUT ORNEK"/>
    <s v="EVET"/>
    <s v="HATALI / EKSİK BİLGİ VERME"/>
    <m/>
    <m/>
    <m/>
  </r>
  <r>
    <s v="ÇAĞRI MERKEZİ"/>
    <s v="*12781292947545"/>
    <n v="5444550601"/>
    <s v="BEPSAŞ"/>
    <x v="1"/>
    <n v="111222"/>
    <s v="MUSTAFA NECIP BOZ"/>
    <s v="SAFAK TOPTAS"/>
    <x v="1"/>
    <s v="MÜŞTERİ TEMSİLCİSİ"/>
    <s v="AÇMA KESME"/>
    <x v="1"/>
    <x v="7"/>
    <d v="2025-12-08T00:00:00"/>
    <d v="2025-12-10T00:00:00"/>
    <x v="2"/>
    <s v="-"/>
    <s v="ŞEYMANUR ÇEVİK"/>
    <s v="YAPILDI"/>
    <s v="EVET"/>
    <n v="0"/>
    <s v="ARALIK"/>
    <n v="111145"/>
    <s v="HATICE AYAG"/>
    <s v="ERCUMENT GUNESSU"/>
    <s v="HAYIR"/>
    <s v="HATASIZ ÇAĞRI"/>
    <m/>
    <m/>
    <m/>
  </r>
  <r>
    <s v="ÇAĞRI MERKEZİ"/>
    <s v="*72971361142468"/>
    <n v="5398693495"/>
    <s v="BEPSAŞ"/>
    <x v="1"/>
    <n v="111123"/>
    <s v="OZNUR KIRTAY"/>
    <s v="SEDA SEBU"/>
    <x v="1"/>
    <s v="MÜŞTERİ TEMSİLCİSİ"/>
    <s v="FATURA İŞLEMLERİ"/>
    <x v="1"/>
    <x v="1"/>
    <d v="2025-12-09T00:00:00"/>
    <d v="2025-12-10T00:00:00"/>
    <x v="2"/>
    <s v="-"/>
    <s v="ŞEYMANUR ÇEVİK"/>
    <s v="YAPILDI"/>
    <s v="EVET"/>
    <n v="0"/>
    <s v="ARALIK"/>
    <n v="111031"/>
    <s v="MUHAMMED EREN KAYA"/>
    <s v="YAREN OZAYAG"/>
    <s v="HAYIR"/>
    <s v="HATASIZ ÇAĞRI"/>
    <m/>
    <m/>
    <m/>
  </r>
  <r>
    <s v="ÇAĞRI MERKEZİ"/>
    <s v="*09553879299340"/>
    <n v="5468403008"/>
    <s v="BEDAŞ"/>
    <x v="0"/>
    <n v="500091"/>
    <s v="DEMET UST"/>
    <s v="METEHAN EMRE SIRMALI"/>
    <x v="0"/>
    <s v="MÜŞTERİ TEMSİLCİSİ"/>
    <s v="ARIZA"/>
    <x v="2"/>
    <x v="5"/>
    <d v="2025-12-09T00:00:00"/>
    <d v="2025-12-10T00:00:00"/>
    <x v="0"/>
    <s v="-"/>
    <s v="ŞEYMANUR ÇEVİK"/>
    <s v="YAPILDI"/>
    <s v="HAYIR"/>
    <n v="100"/>
    <s v="ARALIK"/>
    <n v="500010"/>
    <s v="ALEYNA KARACA"/>
    <s v="ERDOGAN DURUK"/>
    <s v="HAYIR"/>
    <s v="HATASIZ ÇAĞRI"/>
    <m/>
    <m/>
    <m/>
  </r>
  <r>
    <s v="ÇAĞRI MERKEZİ"/>
    <s v="*09553879299340"/>
    <n v="5468403008"/>
    <s v="BEDAŞ"/>
    <x v="0"/>
    <n v="500127"/>
    <s v="MUHAMMED ULAS TOREMEN"/>
    <s v="TURGUT AKDAG"/>
    <x v="0"/>
    <s v="MÜŞTERİ TEMSİLCİSİ"/>
    <s v="ARIZA"/>
    <x v="2"/>
    <x v="5"/>
    <d v="2025-12-09T00:00:00"/>
    <d v="2025-12-10T00:00:00"/>
    <x v="1"/>
    <s v="-"/>
    <s v="ŞEYMANUR ÇEVİK"/>
    <s v="YAPILDI"/>
    <s v="EVET"/>
    <n v="0"/>
    <s v="ARALIK"/>
    <n v="500010"/>
    <s v="ALEYNA KARACA"/>
    <s v="ERDOGAN DURUK"/>
    <s v="HAYIR"/>
    <s v="HATASIZ ÇAĞRI"/>
    <m/>
    <m/>
    <m/>
  </r>
  <r>
    <s v="ÇAĞRI MERKEZİ"/>
    <s v="*09553879299340"/>
    <n v="5468403008"/>
    <s v="BEDAŞ"/>
    <x v="0"/>
    <n v="500189"/>
    <s v="SALIH KUZIK"/>
    <s v="SAMET KOCABEYOGLU"/>
    <x v="0"/>
    <s v="MÜŞTERİ TEMSİLCİSİ"/>
    <s v="ARIZA"/>
    <x v="2"/>
    <x v="5"/>
    <d v="2025-12-09T00:00:00"/>
    <d v="2025-12-10T00:00:00"/>
    <x v="1"/>
    <s v="-"/>
    <s v="ŞEYMANUR ÇEVİK"/>
    <s v="YAPILDI"/>
    <s v="EVET"/>
    <n v="0"/>
    <m/>
    <m/>
    <m/>
    <m/>
    <m/>
    <m/>
    <m/>
    <m/>
    <m/>
  </r>
  <r>
    <s v="ÇAĞRI MERKEZİ"/>
    <s v="*09553879299340"/>
    <n v="5468403008"/>
    <s v="BEDAŞ"/>
    <x v="0"/>
    <n v="600189"/>
    <s v="MEHMET ALI SAVAN"/>
    <s v="MEHMET ALI SAVAN"/>
    <x v="0"/>
    <s v="TAKIM LİDERİ"/>
    <s v="ARIZA"/>
    <x v="2"/>
    <x v="5"/>
    <d v="2025-12-09T00:00:00"/>
    <d v="2025-12-10T00:00:00"/>
    <x v="0"/>
    <s v="-"/>
    <s v="ŞEYMANUR ÇEVİK"/>
    <s v="YAPILMADI"/>
    <s v="HAYIR"/>
    <s v="-"/>
    <s v="ARALIK"/>
    <n v="500010"/>
    <s v="ALEYNA KARACA"/>
    <s v="ERDOGAN DURUK"/>
    <s v="HAYIR"/>
    <s v="HATASIZ ÇAĞRI"/>
    <m/>
    <m/>
    <m/>
  </r>
  <r>
    <s v="ÇAĞRI MERKEZİ"/>
    <s v="*09553879299340"/>
    <n v="5468403008"/>
    <s v="BEDAŞ"/>
    <x v="0"/>
    <n v="500142"/>
    <s v="ASLIHAN DEMIRCI"/>
    <s v="KURSAD TERCANLI"/>
    <x v="0"/>
    <s v="MÜŞTERİ TEMSİLCİSİ"/>
    <s v="ARIZA"/>
    <x v="2"/>
    <x v="5"/>
    <d v="2025-12-09T00:00:00"/>
    <d v="2025-12-10T00:00:00"/>
    <x v="0"/>
    <s v="-"/>
    <s v="ŞEYMANUR ÇEVİK"/>
    <s v="YAPILDI"/>
    <s v="HAYIR"/>
    <n v="100"/>
    <s v="ARALIK"/>
    <n v="500010"/>
    <s v="ALEYNA KARACA"/>
    <s v="ERDOGAN DURUK"/>
    <s v="HAYIR"/>
    <s v="HATASIZ ÇAĞRI"/>
    <m/>
    <m/>
    <m/>
  </r>
  <r>
    <s v="ÇAĞRI MERKEZİ"/>
    <s v="*09553879299340"/>
    <n v="5468403008"/>
    <s v="BEDAŞ"/>
    <x v="0"/>
    <n v="500050"/>
    <s v="GOZDENUR YILMAZ"/>
    <s v="MEHMET ALI SAVAN"/>
    <x v="0"/>
    <s v="MÜŞTERİ TEMSİLCİSİ"/>
    <s v="ARIZA"/>
    <x v="2"/>
    <x v="5"/>
    <d v="2025-12-09T00:00:00"/>
    <d v="2025-12-10T00:00:00"/>
    <x v="1"/>
    <s v="-"/>
    <s v="ŞEYMANUR ÇEVİK"/>
    <s v="YAPILDI"/>
    <s v="EVET"/>
    <n v="0"/>
    <s v="ARALIK"/>
    <n v="500010"/>
    <s v="ALEYNA KARACA"/>
    <s v="ERDOGAN DURUK"/>
    <s v="HAYIR"/>
    <s v="HATASIZ ÇAĞRI"/>
    <m/>
    <m/>
    <m/>
  </r>
  <r>
    <s v="ÇAĞRI MERKEZİ"/>
    <s v="*09553879299340"/>
    <n v="5468403008"/>
    <s v="BEDAŞ"/>
    <x v="0"/>
    <n v="500057"/>
    <s v="SAMET KOCABEYOGLU"/>
    <s v="SAMET KOCABEYOGLU"/>
    <x v="0"/>
    <s v="TAKIM LİDERİ"/>
    <s v="ARIZA"/>
    <x v="2"/>
    <x v="5"/>
    <d v="2025-12-09T00:00:00"/>
    <d v="2025-12-10T00:00:00"/>
    <x v="0"/>
    <s v="-"/>
    <s v="ŞEYMANUR ÇEVİK"/>
    <s v="YAPILMADI"/>
    <s v="HAYIR"/>
    <s v="-"/>
    <s v="ARALIK"/>
    <n v="500010"/>
    <s v="ALEYNA KARACA"/>
    <s v="ERDOGAN DURUK"/>
    <s v="HAYIR"/>
    <s v="HATASIZ ÇAĞRI"/>
    <m/>
    <m/>
    <m/>
  </r>
  <r>
    <s v="ÇAĞRI MERKEZİ"/>
    <s v="*19799352321581"/>
    <n v="5425323466"/>
    <s v="BEDAŞ"/>
    <x v="0"/>
    <n v="110403"/>
    <s v="ERDAL OZAYAG"/>
    <s v="YAPRAK KARAKOC"/>
    <x v="1"/>
    <s v="MÜŞTERİ TEMSİLCİSİ"/>
    <s v="SAYAÇ İŞLEMLERİ"/>
    <x v="2"/>
    <x v="5"/>
    <d v="2025-12-10T00:00:00"/>
    <d v="2025-12-10T00:00:00"/>
    <x v="3"/>
    <s v="-"/>
    <s v="ŞEYMANUR ÇEVİK"/>
    <s v="YAPILDI"/>
    <s v="HAYIR"/>
    <n v="60"/>
    <s v="ARALIK"/>
    <n v="600625"/>
    <s v="UMMUGULSUM DILARA UZUNDERE"/>
    <s v="FERHAT DEMIR"/>
    <s v="EVET"/>
    <s v="HATALI / EKSİK BİLGİ VERME"/>
    <m/>
    <m/>
    <m/>
  </r>
  <r>
    <s v="ÇAĞRI MERKEZİ"/>
    <s v="*64049643099596"/>
    <n v="5358299148"/>
    <s v="AEDAŞ"/>
    <x v="0"/>
    <n v="500137"/>
    <s v="YAGMUR ATMACA"/>
    <s v="SAMET KOCABEYOGLU"/>
    <x v="0"/>
    <s v="MÜŞTERİ TEMSİLCİSİ"/>
    <s v="SAYAÇ İŞLEMLERİ"/>
    <x v="0"/>
    <x v="18"/>
    <d v="2025-12-08T00:00:00"/>
    <d v="2025-12-11T00:00:00"/>
    <x v="3"/>
    <s v="-"/>
    <s v="ŞEYMANUR ÇEVİK"/>
    <s v="YAPILDI"/>
    <s v="HAYIR"/>
    <n v="63"/>
    <s v="ARALIK"/>
    <n v="600473"/>
    <s v="HALIME KAYA"/>
    <s v="FERHAT DEMIR"/>
    <s v="HAYIR"/>
    <s v="HATASIZ ÇAĞRI"/>
    <m/>
    <m/>
    <m/>
  </r>
  <r>
    <s v="ÇAĞRI MERKEZİ"/>
    <s v="*64049643099596"/>
    <n v="5358299148"/>
    <s v="AEDAŞ"/>
    <x v="0"/>
    <n v="500087"/>
    <s v="DILANUR KOMUR"/>
    <s v="SALTUK BUGRAHAN TAYMUS"/>
    <x v="0"/>
    <s v="MÜŞTERİ TEMSİLCİSİ"/>
    <s v="SAYAÇ İŞLEMLERİ"/>
    <x v="0"/>
    <x v="18"/>
    <d v="2025-12-09T00:00:00"/>
    <d v="2025-12-11T00:00:00"/>
    <x v="1"/>
    <s v="-"/>
    <s v="ŞEYMANUR ÇEVİK"/>
    <s v="YAPILDI"/>
    <s v="EVET"/>
    <n v="0"/>
    <s v="ARALIK"/>
    <n v="600473"/>
    <s v="HALIME KAYA"/>
    <s v="FERHAT DEMIR"/>
    <s v="HAYIR"/>
    <s v="HATASIZ ÇAĞRI"/>
    <m/>
    <m/>
    <m/>
  </r>
  <r>
    <s v="ÇAĞRI MERKEZİ"/>
    <s v="*23468061762781"/>
    <n v="5317074554"/>
    <s v="AEDAŞ"/>
    <x v="0"/>
    <n v="500150"/>
    <s v="ELIF BOGATEKIN"/>
    <s v="KURSAD TERCANLI"/>
    <x v="0"/>
    <s v="MÜŞTERİ TEMSİLCİSİ"/>
    <s v="ARIZA"/>
    <x v="2"/>
    <x v="2"/>
    <d v="2025-12-10T00:00:00"/>
    <d v="2025-12-11T00:00:00"/>
    <x v="1"/>
    <s v="-"/>
    <s v="ŞEYMANUR ÇEVİK"/>
    <s v="YAPILDI"/>
    <s v="EVET"/>
    <n v="0"/>
    <s v="ARALIK"/>
    <n v="500131"/>
    <s v="SIBEL ATES"/>
    <s v="TURGUT AKDAG"/>
    <s v="HAYIR"/>
    <s v="HATASIZ ÇAĞRI"/>
    <m/>
    <m/>
    <m/>
  </r>
  <r>
    <s v="ÇAĞRI MERKEZİ"/>
    <s v="*58259929449588"/>
    <n v="5424020670"/>
    <s v="AEDAŞ"/>
    <x v="0"/>
    <n v="500072"/>
    <s v="RABIA DURAN"/>
    <s v="SALTUK BUGRAHAN TAYMUS"/>
    <x v="0"/>
    <s v="MÜŞTERİ TEMSİLCİSİ"/>
    <s v="AÇMA KESME"/>
    <x v="3"/>
    <x v="10"/>
    <d v="2025-12-10T00:00:00"/>
    <d v="2025-12-11T00:00:00"/>
    <x v="5"/>
    <s v="-"/>
    <s v="ŞEYMANUR ÇEVİK"/>
    <s v="YAPILDI"/>
    <s v="HAYIR"/>
    <n v="85"/>
    <s v="ARALIK"/>
    <n v="500094"/>
    <s v="AYSEL ERDEMIR"/>
    <s v="METEHAN EMRE SIRMALI"/>
    <s v="HAYIR"/>
    <s v="HATASIZ ÇAĞRI"/>
    <m/>
    <m/>
    <m/>
  </r>
  <r>
    <s v="ÇAĞRI MERKEZİ"/>
    <s v="*58259929449588"/>
    <n v="5424020670"/>
    <s v="AEDAŞ"/>
    <x v="0"/>
    <n v="500079"/>
    <s v="BURCIN ARICI"/>
    <s v="SALTUK BUGRAHAN TAYMUS"/>
    <x v="0"/>
    <s v="MÜŞTERİ TEMSİLCİSİ"/>
    <s v="AÇMA KESME"/>
    <x v="3"/>
    <x v="10"/>
    <d v="2025-12-10T00:00:00"/>
    <d v="2025-12-11T00:00:00"/>
    <x v="5"/>
    <s v="-"/>
    <s v="ŞEYMANUR ÇEVİK"/>
    <s v="YAPILDI"/>
    <s v="HAYIR"/>
    <n v="65"/>
    <s v="ARALIK"/>
    <n v="500094"/>
    <s v="AYSEL ERDEMIR"/>
    <s v="METEHAN EMRE SIRMALI"/>
    <s v="HAYIR"/>
    <s v="HATASIZ ÇAĞRI"/>
    <m/>
    <m/>
    <m/>
  </r>
  <r>
    <s v="ÇAĞRI MERKEZİ"/>
    <s v="*58259929449588"/>
    <n v="5424020670"/>
    <s v="AEDAŞ"/>
    <x v="0"/>
    <n v="110457"/>
    <s v="GULCIN AKAT"/>
    <s v="YAREN OZAYAG"/>
    <x v="1"/>
    <s v="MÜŞTERİ TEMSİLCİSİ"/>
    <s v="AÇMA KESME"/>
    <x v="3"/>
    <x v="10"/>
    <d v="2025-12-10T00:00:00"/>
    <d v="2025-12-11T00:00:00"/>
    <x v="5"/>
    <s v="-"/>
    <s v="ŞEYMANUR ÇEVİK"/>
    <s v="YAPILDI"/>
    <s v="HAYIR"/>
    <n v="100"/>
    <s v="ARALIK"/>
    <n v="500094"/>
    <s v="AYSEL ERDEMIR"/>
    <s v="METEHAN EMRE SIRMALI"/>
    <s v="HAYIR"/>
    <s v="HATASIZ ÇAĞRI"/>
    <m/>
    <m/>
    <m/>
  </r>
  <r>
    <s v="ÇAĞRI MERKEZİ"/>
    <s v="*59403708701412"/>
    <n v="5333780214"/>
    <s v="BEDAŞ"/>
    <x v="0"/>
    <n v="111240"/>
    <s v="BERAT KILICARSLAN"/>
    <s v="YAPRAK KARAKOC"/>
    <x v="1"/>
    <s v="MÜŞTERİ TEMSİLCİSİ"/>
    <s v="GENEL TALEPLER"/>
    <x v="2"/>
    <x v="5"/>
    <d v="2025-12-09T00:00:00"/>
    <d v="2025-12-11T00:00:00"/>
    <x v="0"/>
    <s v="-"/>
    <s v="ŞEYMANUR ÇEVİK"/>
    <s v="YAPILMADI"/>
    <s v="HAYIR"/>
    <s v="-"/>
    <s v="ARALIK"/>
    <n v="500140"/>
    <s v="ZEYNEP DOGAN"/>
    <s v="SAMET KOCABEYOGLU"/>
    <s v="HAYIR"/>
    <s v="HATASIZ ÇAĞRI"/>
    <m/>
    <m/>
    <m/>
  </r>
  <r>
    <s v="ÇAĞRI MERKEZİ"/>
    <s v="*19897646417894"/>
    <n v="5372699911"/>
    <s v="BEDAŞ"/>
    <x v="0"/>
    <n v="500195"/>
    <s v="YAREN MARAL TEYMUR"/>
    <s v="SAMET KOCABEYOGLU"/>
    <x v="0"/>
    <s v="MÜŞTERİ TEMSİLCİSİ"/>
    <s v="ARIZA"/>
    <x v="1"/>
    <x v="1"/>
    <d v="2025-12-10T00:00:00"/>
    <d v="2025-12-11T00:00:00"/>
    <x v="2"/>
    <s v="-"/>
    <s v="ŞEYMANUR ÇEVİK"/>
    <s v="YAPILDI"/>
    <s v="EVET"/>
    <n v="0"/>
    <s v="ARALIK"/>
    <n v="500088"/>
    <s v="ALEYNA UGRAS"/>
    <s v="METEHAN EMRE SIRMALI"/>
    <m/>
    <m/>
    <m/>
    <m/>
    <m/>
  </r>
  <r>
    <s v="ÇAĞRI MERKEZİ"/>
    <s v="*19897646417894"/>
    <n v="5372699911"/>
    <s v="BEDAŞ"/>
    <x v="0"/>
    <n v="500160"/>
    <s v="MERVE NUR KOTAN"/>
    <s v="KURSAD TERCANLI"/>
    <x v="0"/>
    <s v="MÜŞTERİ TEMSİLCİSİ"/>
    <s v="ARIZA"/>
    <x v="1"/>
    <x v="1"/>
    <d v="2025-12-10T00:00:00"/>
    <d v="2025-12-11T00:00:00"/>
    <x v="2"/>
    <s v="-"/>
    <s v="ŞEYMANUR ÇEVİK"/>
    <s v="YAPILDI"/>
    <s v="EVET"/>
    <n v="0"/>
    <s v="ARALIK"/>
    <n v="500088"/>
    <s v="ALEYNA UGRAS"/>
    <s v="METEHAN EMRE SIRMALI"/>
    <m/>
    <m/>
    <m/>
    <m/>
    <m/>
  </r>
  <r>
    <s v="ÇAĞRI MERKEZİ"/>
    <s v="*46559708699063"/>
    <n v="5457908639"/>
    <s v="BEDAŞ"/>
    <x v="0"/>
    <n v="600184"/>
    <s v="GORKEM SERT"/>
    <s v="GORKEM SERT"/>
    <x v="2"/>
    <s v="TAKIM LİDERİ"/>
    <s v="ARIZA"/>
    <x v="2"/>
    <x v="9"/>
    <d v="2025-12-09T00:00:00"/>
    <d v="2025-12-11T00:00:00"/>
    <x v="0"/>
    <s v="-"/>
    <s v="ŞEYMANUR ÇEVİK"/>
    <s v="YAPILMADI"/>
    <s v="HAYIR"/>
    <s v="-"/>
    <s v="ARALIK"/>
    <n v="500091"/>
    <s v="DEMET UST"/>
    <s v="METEHAN EMRE SIRMALI"/>
    <s v="HAYIR"/>
    <s v="HATASIZ ÇAĞRI"/>
    <m/>
    <m/>
    <m/>
  </r>
  <r>
    <s v="ÇAĞRI MERKEZİ"/>
    <s v="*72693355389789"/>
    <n v="5302424478"/>
    <s v="BEDAŞ"/>
    <x v="0"/>
    <n v="600787"/>
    <s v="EBRAR AKAY"/>
    <s v="GORKEM SERT"/>
    <x v="2"/>
    <s v="MÜŞTERİ TEMSİLCİSİ"/>
    <s v="ARIZA"/>
    <x v="2"/>
    <x v="5"/>
    <d v="2025-12-10T00:00:00"/>
    <d v="2025-12-11T00:00:00"/>
    <x v="1"/>
    <s v="-"/>
    <s v="ŞEYMANUR ÇEVİK"/>
    <s v="YAPILDI"/>
    <s v="EVET"/>
    <n v="0"/>
    <s v="ARALIK"/>
    <s v="-"/>
    <s v="-"/>
    <s v="-"/>
    <s v="-"/>
    <s v="-"/>
    <m/>
    <m/>
    <m/>
  </r>
  <r>
    <s v="ÇAĞRI MERKEZİ"/>
    <s v="*23685042902962"/>
    <n v="5304059925"/>
    <s v="BEDAŞ"/>
    <x v="0"/>
    <n v="500153"/>
    <s v="ESRA YILMAZ"/>
    <s v="KURSAD TERCANLI"/>
    <x v="0"/>
    <s v="MÜŞTERİ TEMSİLCİSİ"/>
    <s v="ARIZA"/>
    <x v="2"/>
    <x v="5"/>
    <d v="2025-12-10T00:00:00"/>
    <d v="2025-12-11T00:00:00"/>
    <x v="2"/>
    <s v="-"/>
    <s v="ŞEYMANUR ÇEVİK"/>
    <s v="YAPILDI"/>
    <s v="EVET"/>
    <n v="0"/>
    <s v="ARALIK"/>
    <n v="500113"/>
    <s v="SENA DEMIR"/>
    <s v="METEHAN EMRE SIRMALI"/>
    <s v="HAYIR"/>
    <s v="HATASIZ ÇAĞRI"/>
    <m/>
    <m/>
    <m/>
  </r>
  <r>
    <s v="ÇAĞRI MERKEZİ"/>
    <s v="*80155429498090"/>
    <n v="5352484818"/>
    <s v="BEDAŞ"/>
    <x v="0"/>
    <n v="500083"/>
    <s v="SEDANUR ARSLAN"/>
    <s v="SALTUK BUGRAHAN TAYMUS"/>
    <x v="0"/>
    <s v="MÜŞTERİ TEMSİLCİSİ"/>
    <s v="AYDINLATMA"/>
    <x v="2"/>
    <x v="17"/>
    <d v="2025-12-10T00:00:00"/>
    <d v="2025-12-11T00:00:00"/>
    <x v="0"/>
    <s v="-"/>
    <s v="ŞEYMANUR ÇEVİK"/>
    <s v="YAPILDI"/>
    <s v="HAYIR"/>
    <n v="100"/>
    <s v="ARALIK"/>
    <n v="500184"/>
    <s v="MUHAMMED MERTAN KARABAK"/>
    <s v="TURGUT AKDAG"/>
    <s v="EVET"/>
    <s v="HATALI / EKSİK BİLGİ VERME"/>
    <m/>
    <m/>
    <m/>
  </r>
  <r>
    <s v="ÇAĞRI MERKEZİ"/>
    <s v="*43030321772903"/>
    <n v="5347955724"/>
    <s v="BEDAŞ"/>
    <x v="0"/>
    <n v="500188"/>
    <s v="RUKIYE GUNGOR"/>
    <s v="TURGUT AKDAG"/>
    <x v="0"/>
    <s v="MÜŞTERİ TEMSİLCİSİ"/>
    <s v="SAYAÇ İŞLEMLERİ"/>
    <x v="2"/>
    <x v="5"/>
    <d v="2025-12-11T00:00:00"/>
    <d v="2025-12-11T00:00:00"/>
    <x v="2"/>
    <s v="-"/>
    <s v="ŞEYMANUR ÇEVİK"/>
    <s v="YAPILDI"/>
    <s v="EVET"/>
    <n v="0"/>
    <s v="ARALIK"/>
    <n v="500124"/>
    <s v="MELISA AKYILDIRIM"/>
    <s v="TURGUT AKDAG"/>
    <s v="EVET"/>
    <s v="HATALI / EKSİK BİLGİ VERME"/>
    <m/>
    <m/>
    <m/>
  </r>
  <r>
    <s v="ÇAĞRI MERKEZİ"/>
    <s v="*08023398395601"/>
    <n v="5309621429"/>
    <s v="AEPSAŞ"/>
    <x v="1"/>
    <n v="600609"/>
    <s v="UMMUHAN SINEM BULUT"/>
    <s v="BUSRA OLCULMUS"/>
    <x v="2"/>
    <s v="MÜŞTERİ TEMSİLCİSİ"/>
    <s v="FATURALAMA ŞİKAYETLERİ"/>
    <x v="2"/>
    <x v="5"/>
    <d v="2025-12-03T00:00:00"/>
    <d v="2025-12-12T00:00:00"/>
    <x v="1"/>
    <s v="-"/>
    <s v="ŞEYMANUR ÇEVİK"/>
    <s v="YAPILDI"/>
    <s v="EVET"/>
    <n v="0"/>
    <s v="ARALIK"/>
    <n v="600396"/>
    <s v="SIMAL YILDIZ"/>
    <s v="HALIL EREN YILDIZ"/>
    <s v="HAYIR"/>
    <s v="HATASIZ ÇAĞRI"/>
    <m/>
    <m/>
    <m/>
  </r>
  <r>
    <s v="ÇAĞRI MERKEZİ"/>
    <s v="*08023398395601"/>
    <n v="5309621429"/>
    <s v="AEPSAŞ"/>
    <x v="1"/>
    <n v="600581"/>
    <s v="ACELYA EKINCI"/>
    <s v="BUSRA OLCULMUS"/>
    <x v="2"/>
    <s v="MÜŞTERİ TEMSİLCİSİ"/>
    <s v="FATURALAMA ŞİKAYETLERİ"/>
    <x v="2"/>
    <x v="5"/>
    <d v="2025-12-03T00:00:00"/>
    <d v="2025-12-12T00:00:00"/>
    <x v="0"/>
    <s v="-"/>
    <s v="ŞEYMANUR ÇEVİK"/>
    <s v="YAPILDI"/>
    <s v="HAYIR"/>
    <n v="100"/>
    <s v="ARALIK"/>
    <n v="600396"/>
    <s v="SIMAL YILDIZ"/>
    <s v="HALIL EREN YILDIZ"/>
    <s v="HAYIR"/>
    <s v="HATASIZ ÇAĞRI"/>
    <m/>
    <m/>
    <m/>
  </r>
  <r>
    <s v="ÇAĞRI MERKEZİ"/>
    <s v="*08023398395601"/>
    <n v="5309621429"/>
    <s v="AEPSAŞ"/>
    <x v="1"/>
    <n v="600538"/>
    <s v="AYSE DURAN"/>
    <s v="ASYA DAG"/>
    <x v="2"/>
    <s v="MÜŞTERİ TEMSİLCİSİ"/>
    <s v="FATURALAMA ŞİKAYETLERİ"/>
    <x v="2"/>
    <x v="5"/>
    <d v="2025-12-05T00:00:00"/>
    <d v="2025-12-12T00:00:00"/>
    <x v="0"/>
    <s v="-"/>
    <s v="ŞEYMANUR ÇEVİK"/>
    <s v="YAPILDI"/>
    <s v="HAYIR"/>
    <n v="100"/>
    <s v="ARALIK"/>
    <n v="600396"/>
    <s v="SIMAL YILDIZ"/>
    <s v="HALIL EREN YILDIZ"/>
    <s v="HAYIR"/>
    <s v="HATASIZ ÇAĞRI"/>
    <m/>
    <m/>
    <m/>
  </r>
  <r>
    <s v="ÇAĞRI MERKEZİ"/>
    <s v="*92465198787462"/>
    <n v="5374030870"/>
    <s v="BEDAŞ"/>
    <x v="0"/>
    <n v="600189"/>
    <s v="MEHMET ALI SAVAN"/>
    <s v="MEHMET ALI SAVAN"/>
    <x v="0"/>
    <s v="TAKIM LİDERİ"/>
    <s v="ARIZA"/>
    <x v="2"/>
    <x v="5"/>
    <d v="2025-12-11T00:00:00"/>
    <d v="2025-12-12T00:00:00"/>
    <x v="0"/>
    <s v="-"/>
    <s v="ŞEYMANUR ÇEVİK"/>
    <s v="YAPILMADI"/>
    <s v="HAYIR"/>
    <s v="-"/>
    <s v="ARALIK"/>
    <n v="600612"/>
    <s v="ZEYNEP ULUSOY"/>
    <s v="ASYA DAG"/>
    <s v="HAYIR"/>
    <s v="HATASIZ ÇAĞRI"/>
    <m/>
    <m/>
    <m/>
  </r>
  <r>
    <s v="ÇAĞRI MERKEZİ"/>
    <s v="*81773920396237"/>
    <n v="5377885810"/>
    <s v="BEDAŞ"/>
    <x v="0"/>
    <n v="500136"/>
    <s v="SEYMANUR GORMEZ"/>
    <s v="SAMET KOCABEYOGLU"/>
    <x v="0"/>
    <s v="MÜŞTERİ TEMSİLCİSİ"/>
    <s v="ARIZA"/>
    <x v="0"/>
    <x v="0"/>
    <d v="2025-12-11T00:00:00"/>
    <d v="2025-12-12T00:00:00"/>
    <x v="2"/>
    <s v="-"/>
    <s v="ŞEYMANUR ÇEVİK"/>
    <s v="YAPILDI"/>
    <s v="EVET"/>
    <n v="0"/>
    <s v="ARALIK"/>
    <s v="-"/>
    <s v="-"/>
    <s v="-"/>
    <s v="-"/>
    <s v="-"/>
    <m/>
    <m/>
    <m/>
  </r>
  <r>
    <s v="ÇAĞRI MERKEZİ"/>
    <s v="*38767857992419"/>
    <n v="5305525903"/>
    <s v="AEDAŞ"/>
    <x v="0"/>
    <n v="500153"/>
    <s v="ESRA YILMAZ"/>
    <s v="KURSAD TERCANLI"/>
    <x v="0"/>
    <s v="MÜŞTERİ TEMSİLCİSİ"/>
    <s v="AYDINLATMA"/>
    <x v="1"/>
    <x v="7"/>
    <d v="2025-12-10T00:00:00"/>
    <d v="2025-12-12T00:00:00"/>
    <x v="2"/>
    <s v="-"/>
    <s v="ŞEYMANUR ÇEVİK"/>
    <s v="YAPILDI"/>
    <s v="EVET"/>
    <n v="0"/>
    <s v="ARALIK"/>
    <n v="500078"/>
    <s v="DUYGU DEMIRCI"/>
    <s v="SALTUK BUGRAHAN TAYMUS"/>
    <s v="HAYIR"/>
    <s v="HATASIZ ÇAĞRI"/>
    <m/>
    <m/>
    <m/>
  </r>
  <r>
    <s v="CİMER"/>
    <s v="*2505102392"/>
    <n v="5437622066"/>
    <s v="BEDAŞ"/>
    <x v="0"/>
    <n v="210452"/>
    <s v="BUSE DASDEMIR"/>
    <s v="ERCUMENT GUNESSU"/>
    <x v="1"/>
    <s v="MÜŞTERİ TEMSİLCİSİ"/>
    <s v="ARIZA"/>
    <x v="2"/>
    <x v="5"/>
    <d v="2025-12-07T00:00:00"/>
    <d v="2025-12-12T00:00:00"/>
    <x v="1"/>
    <s v="-"/>
    <s v="ŞEYMANUR ÇEVİK"/>
    <s v="YAPILDI"/>
    <s v="EVET"/>
    <n v="0"/>
    <s v="ARALIK"/>
    <m/>
    <s v="-"/>
    <s v="-"/>
    <s v="-"/>
    <s v="-"/>
    <m/>
    <m/>
    <m/>
  </r>
  <r>
    <s v="CİMER"/>
    <s v="*2505102392"/>
    <n v="5437622066"/>
    <s v="BEDAŞ"/>
    <x v="0"/>
    <n v="500066"/>
    <s v="MIRAY ELA KATI"/>
    <s v="SALTUK BUGRAHAN TAYMUS"/>
    <x v="0"/>
    <s v="MÜŞTERİ TEMSİLCİSİ"/>
    <s v="ARIZA"/>
    <x v="2"/>
    <x v="5"/>
    <d v="2025-12-08T00:00:00"/>
    <d v="2025-12-12T00:00:00"/>
    <x v="1"/>
    <s v="-"/>
    <s v="ŞEYMANUR ÇEVİK"/>
    <s v="YAPILDI"/>
    <s v="EVET"/>
    <n v="0"/>
    <s v="ARALIK"/>
    <m/>
    <s v="-"/>
    <s v="-"/>
    <s v="-"/>
    <s v="-"/>
    <m/>
    <m/>
    <m/>
  </r>
  <r>
    <s v="ÇAĞRI MERKEZİ"/>
    <s v="*64479142753348"/>
    <n v="5469537993"/>
    <s v="BEDAŞ"/>
    <x v="0"/>
    <n v="500108"/>
    <s v="MISLINA HATUN TURKOGLU"/>
    <s v="METEHAN EMRE SIRMALI"/>
    <x v="0"/>
    <s v="MÜŞTERİ TEMSİLCİSİ"/>
    <s v="ARIZA"/>
    <x v="2"/>
    <x v="5"/>
    <d v="2025-12-12T00:00:00"/>
    <d v="2025-12-15T00:00:00"/>
    <x v="0"/>
    <s v="-"/>
    <s v="ŞEYMANUR ÇEVİK"/>
    <s v="YAPILDI"/>
    <s v="HAYIR"/>
    <n v="100"/>
    <s v="ARALIK"/>
    <s v="-"/>
    <s v="-"/>
    <s v="-"/>
    <s v="-"/>
    <s v="-"/>
    <m/>
    <m/>
    <m/>
  </r>
  <r>
    <s v="ÇAĞRI MERKEZİ"/>
    <s v="*93464438160574"/>
    <n v="5321559995"/>
    <s v="BEDAŞ"/>
    <x v="0"/>
    <n v="500023"/>
    <s v="KUBRA KUCUKOGLU"/>
    <s v="ERDOGAN DURUK"/>
    <x v="0"/>
    <s v="MÜŞTERİ TEMSİLCİSİ"/>
    <s v="SAYAÇ İŞLEMLERİ"/>
    <x v="2"/>
    <x v="5"/>
    <d v="2025-12-12T00:00:00"/>
    <d v="2025-12-15T00:00:00"/>
    <x v="1"/>
    <s v="-"/>
    <s v="ŞEYMANUR ÇEVİK"/>
    <s v="YAPILDI"/>
    <s v="EVET"/>
    <n v="0"/>
    <s v="ARALIK"/>
    <n v="600617"/>
    <s v="ELMAS AKSOY"/>
    <s v="INAN UMUT ORNEK"/>
    <s v="EVET"/>
    <s v="HATALI / EKSİK BİLGİ VERME"/>
    <m/>
    <m/>
    <m/>
  </r>
  <r>
    <s v="ÇAĞRI MERKEZİ"/>
    <s v="*93464438160574"/>
    <n v="5321559995"/>
    <s v="BEDAŞ"/>
    <x v="0"/>
    <n v="500034"/>
    <s v="SINEM TANHUS"/>
    <s v="ERDOGAN DURUK"/>
    <x v="0"/>
    <s v="MÜŞTERİ TEMSİLCİSİ"/>
    <s v="SAYAÇ İŞLEMLERİ"/>
    <x v="2"/>
    <x v="5"/>
    <d v="2025-12-12T00:00:00"/>
    <d v="2025-12-15T00:00:00"/>
    <x v="1"/>
    <s v="-"/>
    <s v="ŞEYMANUR ÇEVİK"/>
    <s v="YAPILDI"/>
    <s v="EVET"/>
    <n v="0"/>
    <s v="ARALIK"/>
    <n v="600617"/>
    <s v="ELMAS AKSOY"/>
    <s v="INAN UMUT ORNEK"/>
    <s v="EVET"/>
    <s v="HATALI / EKSİK BİLGİ VERME"/>
    <m/>
    <m/>
    <m/>
  </r>
  <r>
    <s v="ÇAĞRI MERKEZİ"/>
    <s v="*65104541402974"/>
    <n v="5516392405"/>
    <s v="BEDAŞ"/>
    <x v="0"/>
    <n v="500067"/>
    <s v="ESRA KIZIL"/>
    <s v="SALTUK BUGRAHAN TAYMUS"/>
    <x v="0"/>
    <s v="MÜŞTERİ TEMSİLCİSİ"/>
    <s v="GENEL TALEPLER"/>
    <x v="1"/>
    <x v="7"/>
    <d v="2025-12-13T00:00:00"/>
    <d v="2025-12-15T00:00:00"/>
    <x v="0"/>
    <s v="-"/>
    <s v="ŞEYMANUR ÇEVİK"/>
    <s v="YAPILMADI"/>
    <s v="HAYIR"/>
    <s v="-"/>
    <s v="ARALIK"/>
    <n v="500075"/>
    <s v="AHMET SEFA BASBUGA"/>
    <s v="SALTUK BUGRAHAN TAYMUS"/>
    <s v="EVET"/>
    <s v="HATALI / EKSİK BİLGİ VERME"/>
    <m/>
    <m/>
    <m/>
  </r>
  <r>
    <s v="ÇAĞRI MERKEZİ"/>
    <s v="*65104541402974"/>
    <n v="5516392405"/>
    <s v="BEDAŞ"/>
    <x v="0"/>
    <n v="500066"/>
    <s v="MIRAY ELA KATI"/>
    <s v="SALTUK BUGRAHAN TAYMUS"/>
    <x v="0"/>
    <s v="MÜŞTERİ TEMSİLCİSİ"/>
    <s v="GENEL TALEPLER"/>
    <x v="1"/>
    <x v="7"/>
    <d v="2025-12-13T00:00:00"/>
    <d v="2025-12-15T00:00:00"/>
    <x v="0"/>
    <s v="-"/>
    <s v="ŞEYMANUR ÇEVİK"/>
    <s v="YAPILMADI"/>
    <s v="HAYIR"/>
    <s v="-"/>
    <s v="ARALIK"/>
    <n v="500075"/>
    <s v="AHMET SEFA BASBUGA"/>
    <s v="SALTUK BUGRAHAN TAYMUS"/>
    <s v="EVET"/>
    <s v="HATALI / EKSİK BİLGİ VERME"/>
    <m/>
    <m/>
    <m/>
  </r>
  <r>
    <s v="ÇAĞRI MERKEZİ"/>
    <s v="*05290337348904"/>
    <n v="5315741246"/>
    <s v="BEDAŞ"/>
    <x v="0"/>
    <n v="500073"/>
    <s v="MUHAMMED TARIK KUCUK"/>
    <s v="MUHAMMED TARIK KUCUK"/>
    <x v="0"/>
    <s v="TAKIM LİDERİ"/>
    <s v="ARIZA"/>
    <x v="1"/>
    <x v="7"/>
    <d v="2025-12-13T00:00:00"/>
    <d v="2025-12-15T00:00:00"/>
    <x v="0"/>
    <s v="-"/>
    <s v="ŞEYMANUR ÇEVİK"/>
    <s v="YAPILMADI"/>
    <s v="HAYIR"/>
    <s v="-"/>
    <s v="ARALIK"/>
    <s v="-"/>
    <s v="-"/>
    <s v="-"/>
    <s v="-"/>
    <s v="-"/>
    <m/>
    <m/>
    <m/>
  </r>
  <r>
    <s v="ÇAĞRI MERKEZİ"/>
    <s v="*10167357617012"/>
    <n v="5346149716"/>
    <s v="BEDAŞ"/>
    <x v="0"/>
    <n v="500152"/>
    <s v="EMIRHAN TANAS"/>
    <s v="KURSAD TERCANLI"/>
    <x v="0"/>
    <s v="MÜŞTERİ TEMSİLCİSİ"/>
    <s v="AÇMA KESME"/>
    <x v="2"/>
    <x v="2"/>
    <d v="2025-12-15T00:00:00"/>
    <d v="2025-12-15T00:00:00"/>
    <x v="1"/>
    <s v="-"/>
    <s v="ŞEYMANUR ÇEVİK"/>
    <s v="YAPILDI"/>
    <s v="EVET"/>
    <n v="0"/>
    <s v="ARALIK"/>
    <n v="500162"/>
    <s v="MUHAMMED CAN POLAT"/>
    <s v="KURSAD TERCANLI"/>
    <s v="HAYIR"/>
    <s v="HATASIZ ÇAĞRI"/>
    <m/>
    <m/>
    <m/>
  </r>
  <r>
    <s v="ÇAĞRI MERKEZİ"/>
    <s v="*69608727508448"/>
    <n v="5442858757"/>
    <s v="BEDAŞ"/>
    <x v="0"/>
    <n v="500078"/>
    <s v="DUYGU DEMIRCI"/>
    <s v="SALTUK BUGRAHAN TAYMUS"/>
    <x v="0"/>
    <s v="MÜŞTERİ TEMSİLCİSİ"/>
    <s v="SAYAÇ İŞLEMLERİ"/>
    <x v="0"/>
    <x v="18"/>
    <d v="2025-12-05T00:00:00"/>
    <d v="2025-12-15T00:00:00"/>
    <x v="2"/>
    <s v="-"/>
    <s v="ŞEYMANUR ÇEVİK"/>
    <s v="YAPILDI"/>
    <s v="EVET"/>
    <n v="0"/>
    <s v="ARALIK"/>
    <n v="500116"/>
    <s v="UMUT CAN GOVEZ"/>
    <s v="METEHAN EMRE SIRMALI"/>
    <s v="EVET"/>
    <s v="HATALI / EKSİK BİLGİ VERME"/>
    <m/>
    <m/>
    <m/>
  </r>
  <r>
    <s v="ÇAĞRI MERKEZİ"/>
    <s v="*12622755386425"/>
    <n v="5529465571"/>
    <s v="AEDAŞ"/>
    <x v="0"/>
    <n v="500161"/>
    <s v="MERYEM ATALAY"/>
    <s v="KURSAD TERCANLI"/>
    <x v="0"/>
    <s v="MÜŞTERİ TEMSİLCİSİ"/>
    <s v="GENEL TALEPLER"/>
    <x v="1"/>
    <x v="7"/>
    <d v="2025-12-12T00:00:00"/>
    <d v="2025-12-15T00:00:00"/>
    <x v="0"/>
    <s v="-"/>
    <s v="ŞEYMANUR ÇEVİK"/>
    <s v="YAPILMADI"/>
    <s v="HAYIR"/>
    <s v="-"/>
    <s v="ARALIK"/>
    <n v="500089"/>
    <s v="CANAN KUCUKBATMAN"/>
    <s v="METEHAN EMRE SIRMALI"/>
    <s v="HAYIR"/>
    <s v="HATASIZ ÇAĞRI"/>
    <m/>
    <m/>
    <m/>
  </r>
  <r>
    <s v="ÇAĞRI MERKEZİ"/>
    <s v="*12622755386425"/>
    <n v="5529465571"/>
    <s v="AEDAŞ"/>
    <x v="0"/>
    <n v="500175"/>
    <s v="FATMA DILAN DUMLU"/>
    <s v="SAMET KOCABEYOGLU"/>
    <x v="0"/>
    <s v="MÜŞTERİ TEMSİLCİSİ"/>
    <s v="GENEL TALEPLER"/>
    <x v="1"/>
    <x v="7"/>
    <d v="2025-12-12T00:00:00"/>
    <d v="2025-12-15T00:00:00"/>
    <x v="0"/>
    <s v="-"/>
    <s v="ŞEYMANUR ÇEVİK"/>
    <s v="YAPILMADI"/>
    <s v="HAYIR"/>
    <s v="-"/>
    <s v="ARALIK"/>
    <n v="500089"/>
    <s v="CANAN KUCUKBATMAN"/>
    <s v="METEHAN EMRE SIRMALI"/>
    <s v="HAYIR"/>
    <s v="HATASIZ ÇAĞRI"/>
    <m/>
    <m/>
    <m/>
  </r>
  <r>
    <s v="ÇAĞRI MERKEZİ"/>
    <s v="*93860917838255"/>
    <n v="5334082731"/>
    <s v="AEDAŞ"/>
    <x v="0"/>
    <n v="500193"/>
    <s v="SEYDA IGIT"/>
    <s v="SAMET KOCABEYOGLU"/>
    <x v="0"/>
    <s v="MÜŞTERİ TEMSİLCİSİ"/>
    <s v="SAYAÇ İŞLEMLERİ"/>
    <x v="1"/>
    <x v="7"/>
    <d v="2025-12-12T00:00:00"/>
    <d v="2025-12-15T00:00:00"/>
    <x v="2"/>
    <s v="-"/>
    <s v="ŞEYMANUR ÇEVİK"/>
    <s v="YAPILDI"/>
    <s v="EVET"/>
    <n v="0"/>
    <s v="ARALIK"/>
    <n v="500075"/>
    <s v="AHMET SEFA BASBUGA"/>
    <s v="SALTUK BUGRAHAN TAYMUS"/>
    <s v="HAYIR"/>
    <s v="HATASIZ ÇAĞRI"/>
    <m/>
    <m/>
    <m/>
  </r>
  <r>
    <s v="ÇAĞRI MERKEZİ"/>
    <s v="*10036744770690"/>
    <n v="5349827676"/>
    <s v="AEDAŞ"/>
    <x v="0"/>
    <n v="500119"/>
    <s v="CAGLA BUSE KUCUKOZDEMIR"/>
    <s v="KURSAD TERCANLI"/>
    <x v="0"/>
    <s v="MÜŞTERİ TEMSİLCİSİ"/>
    <s v="ARIZA"/>
    <x v="2"/>
    <x v="17"/>
    <d v="2025-12-09T00:00:00"/>
    <d v="2025-12-15T00:00:00"/>
    <x v="1"/>
    <s v="-"/>
    <s v="ŞEYMANUR ÇEVİK"/>
    <s v="YAPILDI"/>
    <s v="EVET"/>
    <n v="0"/>
    <s v="ARALIK"/>
    <n v="111145"/>
    <s v="HATICE AYAG"/>
    <s v="ERCUMENT GUNESSU"/>
    <s v="HAYIR"/>
    <s v="HATASIZ ÇAĞRI"/>
    <m/>
    <m/>
    <m/>
  </r>
  <r>
    <s v="ÇAĞRI MERKEZİ"/>
    <s v="*16836141811862"/>
    <n v="5325459188"/>
    <s v="AEDAŞ"/>
    <x v="0"/>
    <n v="500147"/>
    <s v="CAGLAR KURSAT YILMAZ"/>
    <s v="KURSAD TERCANLI"/>
    <x v="0"/>
    <s v="MÜŞTERİ TEMSİLCİSİ"/>
    <s v="ARIZA"/>
    <x v="2"/>
    <x v="2"/>
    <d v="2025-12-15T00:00:00"/>
    <d v="2025-12-15T00:00:00"/>
    <x v="1"/>
    <s v="-"/>
    <s v="ŞEYMANUR ÇEVİK"/>
    <s v="YAPILDI"/>
    <s v="EVET"/>
    <n v="0"/>
    <s v="ARALIK"/>
    <n v="500108"/>
    <s v="MISLINA HATUN TURKOGLU"/>
    <s v="METEHAN EMRE SIRMALI"/>
    <s v="EVET"/>
    <s v="HATALI / EKSİK BİLGİ VERME"/>
    <m/>
    <m/>
    <m/>
  </r>
  <r>
    <s v="ÇAĞRI MERKEZİ"/>
    <s v="*78101524413220"/>
    <n v="5323547335"/>
    <s v="BEPSAŞ"/>
    <x v="1"/>
    <n v="210366"/>
    <s v="CAGLA OZKAYA"/>
    <s v="DILAN ORNEK"/>
    <x v="1"/>
    <s v="MÜŞTERİ TEMSİLCİSİ"/>
    <s v="MÜŞTERİ İŞLEMLERİ"/>
    <x v="2"/>
    <x v="5"/>
    <d v="2025-12-12T00:00:00"/>
    <d v="2025-12-15T00:00:00"/>
    <x v="0"/>
    <s v="-"/>
    <s v="ŞEYMANUR ÇEVİK"/>
    <s v="YAPILDI"/>
    <s v="HAYIR"/>
    <n v="78"/>
    <s v="ARALIK"/>
    <s v="-"/>
    <s v="-"/>
    <s v="-"/>
    <s v="-"/>
    <s v="-"/>
    <m/>
    <m/>
    <m/>
  </r>
  <r>
    <s v="ÇAĞRI MERKEZİ"/>
    <s v="*33541204121633"/>
    <n v="5442456739"/>
    <s v="BEDAŞ"/>
    <x v="0"/>
    <n v="110742"/>
    <s v="HANDE KOC"/>
    <s v="YAPRAK KARAKOC"/>
    <x v="1"/>
    <s v="MÜŞTERİ TEMSİLCİSİ"/>
    <s v="ARIZA"/>
    <x v="3"/>
    <x v="10"/>
    <d v="2025-12-16T00:00:00"/>
    <d v="2025-12-16T00:00:00"/>
    <x v="4"/>
    <s v="-"/>
    <s v="ŞEYMANUR ÇEVİK"/>
    <s v="YAPILDI"/>
    <s v="HAYIR"/>
    <n v="70"/>
    <s v="ARALIK"/>
    <n v="500183"/>
    <s v="MERAL GEDIK"/>
    <s v="SAMET KOCABEYOGLU"/>
    <s v="EVET"/>
    <s v="HATALI / EKSİK BİLGİ VERME"/>
    <m/>
    <m/>
    <m/>
  </r>
  <r>
    <s v="ÇAĞRI MERKEZİ"/>
    <s v="*33541204121633"/>
    <n v="5442456739"/>
    <s v="BEDAŞ"/>
    <x v="0"/>
    <n v="500090"/>
    <s v="CILEM ADIBELLI"/>
    <s v="METEHAN EMRE SIRMALI"/>
    <x v="0"/>
    <s v="MÜŞTERİ TEMSİLCİSİ"/>
    <s v="ARIZA"/>
    <x v="3"/>
    <x v="10"/>
    <d v="2025-12-16T00:00:00"/>
    <d v="2025-12-16T00:00:00"/>
    <x v="5"/>
    <s v="-"/>
    <s v="ŞEYMANUR ÇEVİK"/>
    <s v="YAPILDI"/>
    <s v="HAYIR"/>
    <n v="100"/>
    <s v="ARALIK"/>
    <n v="500183"/>
    <s v="MERAL GEDIK"/>
    <s v="SAMET KOCABEYOGLU"/>
    <s v="EVET"/>
    <s v="HATALI / EKSİK BİLGİ VERME"/>
    <m/>
    <m/>
    <m/>
  </r>
  <r>
    <s v="ÇAĞRI MERKEZİ"/>
    <s v="*60632398589478"/>
    <n v="5536001277"/>
    <s v="AEDAŞ"/>
    <x v="0"/>
    <n v="111163"/>
    <s v="KEZBAN DEMIR"/>
    <s v="YAREN OZAYAG"/>
    <x v="1"/>
    <s v="MÜŞTERİ TEMSİLCİSİ"/>
    <s v="ARIZA"/>
    <x v="2"/>
    <x v="5"/>
    <d v="2025-12-02T00:00:00"/>
    <d v="2025-12-16T00:00:00"/>
    <x v="0"/>
    <s v="-"/>
    <s v="ŞEYMANUR ÇEVİK"/>
    <s v="YAPILDI"/>
    <s v="HAYIR"/>
    <n v="61"/>
    <s v="ARALIK"/>
    <n v="500075"/>
    <s v="AHMET SEFA BASBUGA"/>
    <s v="SALTUK BUGRAHAN TAYMUS"/>
    <s v="HAYIR"/>
    <s v="HATASIZ ÇAĞRI"/>
    <m/>
    <m/>
    <m/>
  </r>
  <r>
    <s v="ÇAĞRI MERKEZİ"/>
    <s v="*63260802311216"/>
    <n v="5315741246"/>
    <s v="BEDAŞ"/>
    <x v="0"/>
    <n v="500057"/>
    <s v="SAMET KOCABEYOGLU"/>
    <s v="SAMET KOCABEYOGLU"/>
    <x v="0"/>
    <s v="TAKIM LİDERİ"/>
    <s v="ARIZA"/>
    <x v="2"/>
    <x v="5"/>
    <d v="2025-12-16T00:00:00"/>
    <d v="2025-12-16T00:00:00"/>
    <x v="0"/>
    <s v="-"/>
    <s v="ŞEYMANUR ÇEVİK"/>
    <s v="YAPILMADI"/>
    <s v="HAYIR"/>
    <s v="-"/>
    <s v="ARALIK"/>
    <s v="-"/>
    <s v="-"/>
    <s v="-"/>
    <s v="-"/>
    <s v="-"/>
    <m/>
    <m/>
    <m/>
  </r>
  <r>
    <s v="ÇAĞRI MERKEZİ"/>
    <s v="*83241941161269"/>
    <n v="5419391967"/>
    <s v="BEPSAŞ"/>
    <x v="1"/>
    <n v="600721"/>
    <s v="ESRA SONMEZ"/>
    <s v="BUSRA OLCULMUS"/>
    <x v="2"/>
    <s v="MÜŞTERİ TEMSİLCİSİ"/>
    <s v="MÜŞTERİ İŞLEMLERİ"/>
    <x v="2"/>
    <x v="5"/>
    <d v="2025-12-15T00:00:00"/>
    <d v="2025-12-16T00:00:00"/>
    <x v="0"/>
    <s v="-"/>
    <s v="HALİDE PALAVAR"/>
    <s v="YAPILDI"/>
    <s v="EVET"/>
    <n v="0"/>
    <s v="ARALIK"/>
    <n v="111031"/>
    <s v="MUHAMMED EREN KAYA"/>
    <s v="YAREN OZAYAG"/>
    <s v="EVET"/>
    <s v="HATALI / EKSİK BİLGİ VERME"/>
    <m/>
    <m/>
    <m/>
  </r>
  <r>
    <s v="ÇAĞRI MERKEZİ"/>
    <s v="* 97851023031811"/>
    <n v="5444823218"/>
    <s v="AEPSAŞ"/>
    <x v="1"/>
    <n v="111263"/>
    <s v="RAHMAN ALI KINA"/>
    <s v="SEVCAN BULUT"/>
    <x v="1"/>
    <s v="MÜŞTERİ TEMSİLCİSİ"/>
    <s v="FATURA İŞLEMLERİ"/>
    <x v="2"/>
    <x v="5"/>
    <d v="2025-12-09T00:00:00"/>
    <d v="2025-12-16T00:00:00"/>
    <x v="0"/>
    <s v="-"/>
    <s v="HALİDE PALAVAR"/>
    <s v="YAPILDI"/>
    <s v="EVET"/>
    <n v="0"/>
    <s v="ARALIK"/>
    <m/>
    <s v="---"/>
    <s v="---"/>
    <m/>
    <m/>
    <m/>
    <m/>
    <m/>
  </r>
  <r>
    <s v="ÇAĞRI MERKEZİ"/>
    <s v="* 49796090834891"/>
    <n v="5059039716"/>
    <s v="AEPSAŞ"/>
    <x v="1"/>
    <n v="600774"/>
    <s v="NAZLI SILA KAYHAN"/>
    <s v="ISIK BUGRA OZDEMIR"/>
    <x v="2"/>
    <s v="MÜŞTERİ TEMSİLCİSİ"/>
    <s v="CK SATIŞ"/>
    <x v="0"/>
    <x v="19"/>
    <d v="2025-08-22T00:00:00"/>
    <d v="2025-12-16T00:00:00"/>
    <x v="0"/>
    <s v="YOK"/>
    <s v="HALİDE PALAVAR"/>
    <s v="YAPILMADI"/>
    <s v="HAYIR"/>
    <s v="-"/>
    <s v="ARALIK"/>
    <m/>
    <s v="---"/>
    <s v="---"/>
    <m/>
    <m/>
    <s v="çağrı soru ısaretı"/>
    <m/>
    <m/>
  </r>
  <r>
    <s v="ÇAĞRI MERKEZİ"/>
    <s v="*41926382682427 / *98566086210462"/>
    <n v="5368832406"/>
    <s v="BEDAŞ"/>
    <x v="0"/>
    <n v="500192"/>
    <s v="SEYDA ARSLAN"/>
    <s v="TURGUT AKDAG"/>
    <x v="0"/>
    <s v="MÜŞTERİ TEMSİLCİSİ"/>
    <s v="AÇMA KESME"/>
    <x v="2"/>
    <x v="5"/>
    <d v="2025-12-15T00:00:00"/>
    <d v="2025-12-16T00:00:00"/>
    <x v="1"/>
    <s v="-"/>
    <s v="ŞEYMANUR ÇEVİK"/>
    <s v="YAPILDI"/>
    <s v="EVET"/>
    <n v="0"/>
    <s v="ARALIK"/>
    <n v="500122"/>
    <s v="EYLUL YILDIRIM"/>
    <s v="SAMET KOCABEYOGLU"/>
    <s v="EVET"/>
    <s v="HATALI / EKSİK BİLGİ VERME"/>
    <m/>
    <m/>
    <m/>
  </r>
  <r>
    <s v="ÇAĞRI MERKEZİ"/>
    <s v="*93725955391067"/>
    <n v="5368832406"/>
    <s v="BEDAŞ"/>
    <x v="0"/>
    <n v="500153"/>
    <s v="ESRA YILMAZ"/>
    <s v="KURSAD TERCANLI"/>
    <x v="0"/>
    <s v="MÜŞTERİ TEMSİLCİSİ"/>
    <s v="AÇMA KESME"/>
    <x v="2"/>
    <x v="5"/>
    <d v="2025-12-16T00:00:00"/>
    <d v="2025-12-16T00:00:00"/>
    <x v="1"/>
    <s v="-"/>
    <s v="ŞEYMANUR ÇEVİK"/>
    <s v="YAPILDI"/>
    <s v="EVET"/>
    <n v="0"/>
    <s v="ARALIK"/>
    <n v="500122"/>
    <s v="EYLUL YILDIRIM"/>
    <s v="SAMET KOCABEYOGLU"/>
    <s v="EVET"/>
    <s v="HATALI / EKSİK BİLGİ VERME"/>
    <m/>
    <m/>
    <m/>
  </r>
  <r>
    <s v="ÇAĞRI MERKEZİ"/>
    <s v="*58697019784494"/>
    <n v="5368832406"/>
    <s v="BEDAŞ"/>
    <x v="0"/>
    <n v="500187"/>
    <s v="NESLIHAN HOS"/>
    <s v="SAMET KOCABEYOGLU"/>
    <x v="0"/>
    <s v="MÜŞTERİ TEMSİLCİSİ"/>
    <s v="AÇMA KESME"/>
    <x v="2"/>
    <x v="5"/>
    <d v="2025-12-16T00:00:00"/>
    <d v="2025-12-16T00:00:00"/>
    <x v="2"/>
    <s v="-"/>
    <s v="ŞEYMANUR ÇEVİK"/>
    <s v="YAPILDI"/>
    <s v="EVET"/>
    <n v="0"/>
    <s v="ARALIK"/>
    <n v="500122"/>
    <s v="EYLUL YILDIRIM"/>
    <s v="SAMET KOCABEYOGLU"/>
    <s v="EVET"/>
    <s v="HATALI / EKSİK BİLGİ VERME"/>
    <m/>
    <m/>
    <m/>
  </r>
  <r>
    <s v="ÇAĞRI MERKEZİ"/>
    <s v="*70581528639843"/>
    <n v="5413212344"/>
    <s v="BEDAŞ"/>
    <x v="0"/>
    <n v="500057"/>
    <s v="SAMET KOCABEYOGLU"/>
    <s v="SAMET KOCABEYOGLU"/>
    <x v="0"/>
    <s v="MÜŞTERİ TEMSİLCİSİ"/>
    <s v="KAÇAK"/>
    <x v="2"/>
    <x v="5"/>
    <d v="2025-12-16T00:00:00"/>
    <d v="2025-12-16T00:00:00"/>
    <x v="0"/>
    <s v="-"/>
    <s v="ŞEYMANUR ÇEVİK"/>
    <s v="YAPILMADI"/>
    <s v="HAYIR"/>
    <s v="-"/>
    <s v="ARALIK"/>
    <s v="-"/>
    <s v="---"/>
    <s v="---"/>
    <s v="-"/>
    <s v="-"/>
    <m/>
    <m/>
    <m/>
  </r>
  <r>
    <s v="ÇAĞRI MERKEZİ"/>
    <s v="*76428620035598"/>
    <n v="5529352506"/>
    <s v="AEPSAŞ"/>
    <x v="1"/>
    <n v="111264"/>
    <s v="RESUL BULUT"/>
    <s v="KURTHAN FERDI CIHANTIMUR"/>
    <x v="1"/>
    <s v="TAKIM LİDERİ"/>
    <s v="MÜŞTERİ İŞLEMLERİ"/>
    <x v="2"/>
    <x v="5"/>
    <d v="2025-12-11T00:00:00"/>
    <d v="2025-12-16T00:00:00"/>
    <x v="3"/>
    <s v="-"/>
    <s v="ŞEYMANUR ÇEVİK"/>
    <s v="YAPILDI"/>
    <s v="HAYIR"/>
    <n v="80"/>
    <s v="ARALIK"/>
    <n v="111201"/>
    <s v="MELISA COSKUNOZ"/>
    <s v="KURTHAN FERDI CIHANTIMUR"/>
    <s v="HAYIR"/>
    <s v="HATASIZ ÇAĞRI"/>
    <m/>
    <m/>
    <m/>
  </r>
  <r>
    <s v="ÇAĞRI MERKEZİ"/>
    <s v="*45344882624726"/>
    <n v="5424131388"/>
    <s v="AEPSAŞ"/>
    <x v="1"/>
    <n v="600455"/>
    <s v="VUSLAT UNAL"/>
    <s v="GORKEM SERT"/>
    <x v="2"/>
    <s v="MÜŞTERİ TEMSİLCİSİ"/>
    <s v="FATURA İŞLEMLERİ"/>
    <x v="1"/>
    <x v="7"/>
    <d v="2025-12-15T00:00:00"/>
    <d v="2025-12-16T00:00:00"/>
    <x v="2"/>
    <s v="-"/>
    <s v="ŞEYMANUR ÇEVİK"/>
    <s v="YAPILDI"/>
    <s v="EVET"/>
    <n v="0"/>
    <s v="ARALIK"/>
    <n v="600726"/>
    <s v="MELEK SUDE YANAR"/>
    <s v="ASYA DAG"/>
    <s v="HAYIR"/>
    <s v="HATASIZ ÇAĞRI"/>
    <m/>
    <m/>
    <m/>
  </r>
  <r>
    <s v="CİMER"/>
    <n v="2505227281"/>
    <n v="5367096609"/>
    <s v="BEPSAŞ"/>
    <x v="1"/>
    <n v="600675"/>
    <s v="SELIM FIRAT TUNCER"/>
    <s v="AHMET RIDVAN ERDOGMUS"/>
    <x v="2"/>
    <s v="MÜŞTERİ TEMSİLCİSİ"/>
    <s v="CK SATIŞ"/>
    <x v="0"/>
    <x v="19"/>
    <d v="2025-06-19T00:00:00"/>
    <d v="2025-12-17T00:00:00"/>
    <x v="3"/>
    <s v="VAR"/>
    <s v="HALİDE PALAVAR"/>
    <s v="YAPILMADI"/>
    <s v="HAYIR"/>
    <s v="-"/>
    <s v="ARALIK"/>
    <m/>
    <s v="---"/>
    <s v="---"/>
    <m/>
    <m/>
    <m/>
    <m/>
    <m/>
  </r>
  <r>
    <s v="ÇAĞRI MERKEZİ"/>
    <s v="* 36693419509205"/>
    <n v="5443412506"/>
    <s v="BEDAŞ"/>
    <x v="0"/>
    <n v="600345"/>
    <s v="FERHAT DEMIR"/>
    <s v="FERHAT DEMIR"/>
    <x v="2"/>
    <s v="TAKIM LİDERİ"/>
    <s v="KAÇAK"/>
    <x v="0"/>
    <x v="11"/>
    <d v="2025-12-16T00:00:00"/>
    <d v="2025-12-17T00:00:00"/>
    <x v="0"/>
    <s v="-"/>
    <s v="HALİDE PALAVAR"/>
    <s v="YAPILMADI"/>
    <s v="HAYIR"/>
    <s v="-"/>
    <s v="ARALIK"/>
    <m/>
    <s v="---"/>
    <s v="---"/>
    <m/>
    <m/>
    <m/>
    <m/>
    <m/>
  </r>
  <r>
    <s v="ÇAĞRI MERKEZİ"/>
    <s v="*35521015264355"/>
    <n v="5443412506"/>
    <s v="BEDAŞ"/>
    <x v="0"/>
    <m/>
    <s v="- - - "/>
    <s v="- - -"/>
    <x v="4"/>
    <s v="- - -"/>
    <m/>
    <x v="4"/>
    <x v="20"/>
    <m/>
    <m/>
    <x v="7"/>
    <m/>
    <m/>
    <m/>
    <m/>
    <m/>
    <s v="ARALIK"/>
    <m/>
    <s v="---"/>
    <s v="---"/>
    <m/>
    <m/>
    <m/>
    <m/>
    <m/>
  </r>
  <r>
    <s v="ÇAĞRI MERKEZİ"/>
    <m/>
    <m/>
    <m/>
    <x v="2"/>
    <m/>
    <s v="- - - "/>
    <s v="- - -"/>
    <x v="4"/>
    <s v="- - -"/>
    <m/>
    <x v="4"/>
    <x v="20"/>
    <m/>
    <m/>
    <x v="7"/>
    <m/>
    <m/>
    <m/>
    <m/>
    <m/>
    <s v="ARALIK"/>
    <m/>
    <s v="---"/>
    <s v="---"/>
    <m/>
    <m/>
    <m/>
    <m/>
    <m/>
  </r>
  <r>
    <s v="ÇAĞRI MERKEZİ"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s v="- - - "/>
    <s v="- - -"/>
    <x v="4"/>
    <s v="- - -"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2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s v="---"/>
    <s v="---"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m/>
    <m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m/>
    <m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m/>
    <m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m/>
    <m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m/>
    <m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m/>
    <m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m/>
    <m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m/>
    <m/>
    <m/>
    <m/>
    <m/>
    <m/>
    <m/>
  </r>
  <r>
    <m/>
    <m/>
    <m/>
    <m/>
    <x v="3"/>
    <m/>
    <m/>
    <m/>
    <x v="5"/>
    <m/>
    <m/>
    <x v="4"/>
    <x v="20"/>
    <m/>
    <m/>
    <x v="7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C58D0-BC58-4942-A24A-3733C29F5A63}" name="PivotTable2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13:E43" firstHeaderRow="1" firstDataRow="2" firstDataCol="1"/>
  <pivotFields count="30"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>
      <items count="7">
        <item x="3"/>
        <item x="4"/>
        <item x="2"/>
        <item x="0"/>
        <item x="1"/>
        <item x="5"/>
        <item t="default"/>
      </items>
    </pivotField>
    <pivotField showAll="0"/>
    <pivotField showAll="0"/>
    <pivotField axis="axisRow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2">
        <item x="15"/>
        <item x="3"/>
        <item x="4"/>
        <item x="13"/>
        <item x="19"/>
        <item x="11"/>
        <item x="0"/>
        <item x="18"/>
        <item x="14"/>
        <item x="12"/>
        <item x="2"/>
        <item x="17"/>
        <item x="5"/>
        <item x="10"/>
        <item x="8"/>
        <item x="7"/>
        <item x="6"/>
        <item x="1"/>
        <item x="16"/>
        <item x="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multipleItemSelectionAllowed="1" showAll="0">
      <items count="9">
        <item h="1" x="6"/>
        <item h="1" x="5"/>
        <item h="1" x="0"/>
        <item h="1" x="4"/>
        <item x="1"/>
        <item x="3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12"/>
  </rowFields>
  <rowItems count="29">
    <i>
      <x v="1"/>
    </i>
    <i r="1">
      <x v="12"/>
    </i>
    <i r="1">
      <x v="15"/>
    </i>
    <i r="1">
      <x v="10"/>
    </i>
    <i r="1">
      <x v="19"/>
    </i>
    <i r="1">
      <x v="11"/>
    </i>
    <i r="1">
      <x v="9"/>
    </i>
    <i r="1">
      <x v="8"/>
    </i>
    <i>
      <x/>
    </i>
    <i r="1">
      <x v="15"/>
    </i>
    <i r="1">
      <x v="17"/>
    </i>
    <i r="1">
      <x v="14"/>
    </i>
    <i r="1">
      <x v="18"/>
    </i>
    <i r="1">
      <x v="16"/>
    </i>
    <i>
      <x v="3"/>
    </i>
    <i r="1">
      <x v="6"/>
    </i>
    <i r="1">
      <x v="5"/>
    </i>
    <i r="1">
      <x v="7"/>
    </i>
    <i r="1">
      <x v="1"/>
    </i>
    <i r="1">
      <x v="2"/>
    </i>
    <i r="1">
      <x v="4"/>
    </i>
    <i r="1">
      <x v="3"/>
    </i>
    <i>
      <x v="4"/>
    </i>
    <i r="1">
      <x v="20"/>
    </i>
    <i r="1">
      <x v="18"/>
    </i>
    <i>
      <x v="2"/>
    </i>
    <i r="1">
      <x v="13"/>
    </i>
    <i r="1">
      <x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ay Lokasy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3C6B8-78A6-48D0-B3A0-603328275CCC}" name="PivotTable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3:E10" firstHeaderRow="1" firstDataRow="2" firstDataCol="1"/>
  <pivotFields count="30"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>
      <items count="7">
        <item x="3"/>
        <item x="4"/>
        <item x="2"/>
        <item x="0"/>
        <item x="1"/>
        <item x="5"/>
        <item t="default"/>
      </items>
    </pivotField>
    <pivotField showAll="0"/>
    <pivotField showAll="0"/>
    <pivotField axis="axisRow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2">
        <item x="15"/>
        <item x="3"/>
        <item x="4"/>
        <item x="13"/>
        <item x="19"/>
        <item x="11"/>
        <item x="0"/>
        <item x="18"/>
        <item x="14"/>
        <item x="12"/>
        <item x="2"/>
        <item x="17"/>
        <item x="5"/>
        <item x="10"/>
        <item x="8"/>
        <item x="7"/>
        <item x="6"/>
        <item x="1"/>
        <item x="16"/>
        <item x="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multipleItemSelectionAllowed="1" showAll="0">
      <items count="9">
        <item h="1" x="6"/>
        <item h="1" x="5"/>
        <item h="1" x="0"/>
        <item h="1" x="4"/>
        <item x="1"/>
        <item x="3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 v="1"/>
    </i>
    <i>
      <x/>
    </i>
    <i>
      <x v="3"/>
    </i>
    <i>
      <x v="4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ay Lokasy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63922-D254-46DE-ACDC-D8769D9DDEAA}" name="Tablo1" displayName="Tablo1" ref="F1:F11" totalsRowShown="0">
  <autoFilter ref="F1:F11" xr:uid="{45B9FF9C-A4F9-4D8C-B00B-81825E56D1B3}"/>
  <tableColumns count="1">
    <tableColumn id="1" xr3:uid="{4F58BA6A-DE59-423B-91B6-8E4CF4F8C243}" name="SÜREÇ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64346D-934D-4622-9853-4A284DEB552F}" name="Tablo2" displayName="Tablo2" ref="G1:G14" totalsRowShown="0">
  <autoFilter ref="G1:G14" xr:uid="{66B6FCFB-06C7-4147-B88C-15CF17F78E47}"/>
  <tableColumns count="1">
    <tableColumn id="1" xr3:uid="{A9FD65D3-822F-4074-9428-AA63BCCDE425}" name="ÜRÜ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3D754C-D22D-4A08-971A-CBD067713341}" name="Tablo8" displayName="Tablo8" ref="H1:H6" totalsRowShown="0">
  <autoFilter ref="H1:H6" xr:uid="{0B4377A8-5249-4497-BC60-570E14A5D9F9}"/>
  <tableColumns count="1">
    <tableColumn id="1" xr3:uid="{3934C9A3-908A-437A-A99B-6BD2414B20F8}" name="DAVRANIŞ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CE2E1C-BA8F-4AC0-AE36-9377B0A6018F}" name="Tablo9" displayName="Tablo9" ref="I1:I4" totalsRowShown="0">
  <autoFilter ref="I1:I4" xr:uid="{B6F19999-7C59-4D1B-800F-64ECED306064}"/>
  <tableColumns count="1">
    <tableColumn id="1" xr3:uid="{E01B1155-D65E-46D6-8803-768C003ECD4B}" name="TEŞEKKÜ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906F80-2EF9-4809-870B-D536110FB6E0}" name="Tablo10" displayName="Tablo10" ref="J1:J26" totalsRowShown="0">
  <autoFilter ref="J1:J26" xr:uid="{C24184BB-A119-4F51-96AF-282C979B3B4F}"/>
  <tableColumns count="1">
    <tableColumn id="1" xr3:uid="{85F6D297-AC16-42B9-8278-5AEA7374F359}" name="Çağrı Konusu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1D99E8E-060C-4B0C-9C53-566E3841E0FC}" name="Tablo11" displayName="Tablo11" ref="K1:K9" totalsRowShown="0">
  <autoFilter ref="K1:K9" xr:uid="{05F7203B-2FBF-46B3-A514-4196012A2B77}"/>
  <sortState xmlns:xlrd2="http://schemas.microsoft.com/office/spreadsheetml/2017/richdata2" ref="K2:K8">
    <sortCondition ref="K1:K8"/>
  </sortState>
  <tableColumns count="1">
    <tableColumn id="1" xr3:uid="{76DE5741-614E-403A-AF0F-40AC1C423867}" name="Yapılacak İş Sonucu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569921D-AE51-4ED9-887F-E3BD9A0B1892}" name="Tablo12" displayName="Tablo12" ref="L1:L11" totalsRowShown="0">
  <autoFilter ref="L1:L11" xr:uid="{CCE0F957-F9A4-4C8D-B9A5-E8339619B9AC}"/>
  <tableColumns count="1">
    <tableColumn id="1" xr3:uid="{54615EA3-AA1E-4B65-8ED8-86B25BC9E830}" name="Kalite Yetkilis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24C387E-DF26-4BB4-BC3B-F1FC63C587DE}" name="Tablo13" displayName="Tablo13" ref="M1:M3" totalsRowShown="0">
  <autoFilter ref="M1:M3" xr:uid="{CB7F3918-79FD-4DD7-9828-FC19AB227DDA}"/>
  <tableColumns count="1">
    <tableColumn id="1" xr3:uid="{87EA78C9-01F1-4A35-B8C5-658AD66938DB}" name="Kalite Değerlendirmes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3E59105-1A0E-452F-B83F-7C1B5243CB64}" name="Tablo14" displayName="Tablo14" ref="N1:Q5" totalsRowShown="0">
  <autoFilter ref="N1:Q5" xr:uid="{037D2115-EEC0-4560-86FB-1A24D38C5CDF}"/>
  <tableColumns count="4">
    <tableColumn id="1" xr3:uid="{45C955BF-1613-40D2-A935-B2D33B4EF112}" name="Mail İletildi Mi?"/>
    <tableColumn id="2" xr3:uid="{6A1C2D0B-4DB5-48D6-BAE6-F1967D707A30}" name="Kayıt Oluşturan MT Hatalı Mı?"/>
    <tableColumn id="3" xr3:uid="{8672638C-4901-43B4-A8D4-62CECA7A9984}" name="Hata Sebebi Olan Durum Nedir?"/>
    <tableColumn id="4" xr3:uid="{EB0A0A7A-D3E4-4F89-A112-8DEAE770B1AA}" name="Fraud (Tele Satış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FFCA9F9-CD56-4C8E-AC62-9F7D9B881B96}" name="Tablo15" displayName="Tablo15" ref="E1:E4" totalsRowShown="0">
  <autoFilter ref="E1:E4" xr:uid="{0091AB3F-DAAA-46C3-8C4B-B75C27361849}"/>
  <tableColumns count="1">
    <tableColumn id="1" xr3:uid="{CA10DD82-C9D8-4282-BEC0-CDE338AABF87}" name="Unva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AB07688-73F8-43E1-A8B4-A198148EBEEE}" name="Tablo16" displayName="Tablo16" ref="B1:B4" totalsRowShown="0">
  <autoFilter ref="B1:B4" xr:uid="{A59310D1-B5CC-40A3-90FB-4BEEA137BF6F}"/>
  <tableColumns count="1">
    <tableColumn id="1" xr3:uid="{D519681A-BA54-407D-A236-37A5BEFC7E9F}" name="Lokasy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81C4FBC-BF2C-44D6-82DC-1DE3CA581AF9}" name="Tablo17" displayName="Tablo17" ref="A1:A5">
  <autoFilter ref="A1:A5" xr:uid="{B9F838A7-84CC-4863-AA46-C598D3AC11BA}"/>
  <tableColumns count="1">
    <tableColumn id="1" xr3:uid="{FDD4E629-DD73-4EF5-875D-9D836DA5A6E6}" name="Geliş Kanalı" totalsRowFunction="cou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5643BB1-8DED-4922-9A21-7C5018D89311}" name="Tablo18" displayName="Tablo18" ref="C1:D7" totalsRowShown="0">
  <autoFilter ref="C1:D7" xr:uid="{4804B4F5-E3EF-4D5E-8ABE-E93DA66A0402}"/>
  <tableColumns count="2">
    <tableColumn id="1" xr3:uid="{9B23856F-D488-45A0-AAF5-3393817AB480}" name="ŞİRKET"/>
    <tableColumn id="2" xr3:uid="{DD97D127-D236-4624-AACB-4C1EFD6D2159}" name="SKI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7BD2-3D7E-4499-A19E-F39A02AC9CAA}">
  <dimension ref="A1:AH1103"/>
  <sheetViews>
    <sheetView tabSelected="1" topLeftCell="M404" zoomScale="85" zoomScaleNormal="85" workbookViewId="0">
      <selection activeCell="AB439" sqref="AB439:AD439"/>
    </sheetView>
  </sheetViews>
  <sheetFormatPr defaultColWidth="9.5703125" defaultRowHeight="12.75" x14ac:dyDescent="0.25"/>
  <cols>
    <col min="1" max="1" width="13.85546875" style="29" bestFit="1" customWidth="1"/>
    <col min="2" max="2" width="26.5703125" style="29" customWidth="1"/>
    <col min="3" max="3" width="10.42578125" style="29" customWidth="1"/>
    <col min="4" max="6" width="9.5703125" style="29"/>
    <col min="7" max="7" width="25" style="29" customWidth="1"/>
    <col min="8" max="8" width="21.85546875" style="29" bestFit="1" customWidth="1"/>
    <col min="9" max="9" width="11.85546875" style="29" bestFit="1" customWidth="1"/>
    <col min="10" max="10" width="18.28515625" style="29" bestFit="1" customWidth="1"/>
    <col min="11" max="11" width="17.28515625" style="29" customWidth="1"/>
    <col min="12" max="12" width="12" style="29" bestFit="1" customWidth="1"/>
    <col min="13" max="13" width="43.5703125" style="29" customWidth="1"/>
    <col min="14" max="15" width="9.85546875" style="29" bestFit="1" customWidth="1"/>
    <col min="16" max="16" width="15.28515625" style="29" bestFit="1" customWidth="1"/>
    <col min="17" max="17" width="9.5703125" style="29"/>
    <col min="18" max="18" width="13.5703125" style="29" bestFit="1" customWidth="1"/>
    <col min="19" max="23" width="9.5703125" style="29"/>
    <col min="24" max="24" width="24.42578125" style="29" bestFit="1" customWidth="1"/>
    <col min="25" max="25" width="20" style="29" bestFit="1" customWidth="1"/>
    <col min="26" max="26" width="9.5703125" style="29"/>
    <col min="27" max="27" width="19.85546875" style="29" bestFit="1" customWidth="1"/>
    <col min="28" max="29" width="19.85546875" style="46" customWidth="1"/>
    <col min="30" max="30" width="43.140625" style="46" customWidth="1"/>
    <col min="31" max="16384" width="9.5703125" style="29"/>
  </cols>
  <sheetData>
    <row r="1" spans="1:34" s="40" customFormat="1" ht="64.150000000000006" customHeight="1" x14ac:dyDescent="0.25">
      <c r="A1" s="3" t="s">
        <v>706</v>
      </c>
      <c r="B1" s="3" t="s">
        <v>721</v>
      </c>
      <c r="C1" s="3" t="s">
        <v>722</v>
      </c>
      <c r="D1" s="3" t="s">
        <v>1</v>
      </c>
      <c r="E1" s="3" t="s">
        <v>606</v>
      </c>
      <c r="F1" s="3" t="s">
        <v>720</v>
      </c>
      <c r="G1" s="3" t="s">
        <v>707</v>
      </c>
      <c r="H1" s="3" t="s">
        <v>708</v>
      </c>
      <c r="I1" s="3" t="s">
        <v>2</v>
      </c>
      <c r="J1" s="3" t="s">
        <v>3</v>
      </c>
      <c r="K1" s="3" t="s">
        <v>705</v>
      </c>
      <c r="L1" s="3" t="s">
        <v>704</v>
      </c>
      <c r="M1" s="3" t="s">
        <v>703</v>
      </c>
      <c r="N1" s="30" t="s">
        <v>711</v>
      </c>
      <c r="O1" s="31" t="s">
        <v>710</v>
      </c>
      <c r="P1" s="3" t="s">
        <v>712</v>
      </c>
      <c r="Q1" s="3" t="s">
        <v>723</v>
      </c>
      <c r="R1" s="3" t="s">
        <v>700</v>
      </c>
      <c r="S1" s="3" t="s">
        <v>701</v>
      </c>
      <c r="T1" s="3" t="s">
        <v>713</v>
      </c>
      <c r="U1" s="32" t="s">
        <v>702</v>
      </c>
      <c r="V1" s="32" t="s">
        <v>709</v>
      </c>
      <c r="W1" s="33" t="s">
        <v>714</v>
      </c>
      <c r="X1" s="33" t="s">
        <v>715</v>
      </c>
      <c r="Y1" s="33" t="s">
        <v>716</v>
      </c>
      <c r="Z1" s="6" t="s">
        <v>717</v>
      </c>
      <c r="AA1" s="44" t="s">
        <v>718</v>
      </c>
      <c r="AB1" s="33" t="s">
        <v>705</v>
      </c>
      <c r="AC1" s="33" t="s">
        <v>704</v>
      </c>
      <c r="AD1" s="33" t="s">
        <v>703</v>
      </c>
      <c r="AE1" s="34" t="s">
        <v>719</v>
      </c>
      <c r="AF1" s="34" t="s">
        <v>610</v>
      </c>
      <c r="AG1" s="34" t="s">
        <v>611</v>
      </c>
    </row>
    <row r="2" spans="1:34" x14ac:dyDescent="0.25">
      <c r="A2" s="19" t="s">
        <v>11</v>
      </c>
      <c r="B2" s="19" t="s">
        <v>726</v>
      </c>
      <c r="C2" s="19">
        <v>5514232692</v>
      </c>
      <c r="D2" s="19" t="s">
        <v>14</v>
      </c>
      <c r="E2" s="19" t="str">
        <f>IFERROR(VLOOKUP(D2,Tanımlar!C:D,2,0),"- - -")</f>
        <v>DAĞITIM</v>
      </c>
      <c r="F2" s="35">
        <v>500179</v>
      </c>
      <c r="G2" s="19" t="str">
        <f>IFERROR(VLOOKUP(F2,'Personel Bilgi'!A:B,2,0),"- - - ")</f>
        <v>HANIFE UZUN</v>
      </c>
      <c r="H2" s="19" t="str">
        <f>IFERROR(VLOOKUP(F2,'Personel Bilgi'!A:D,3,0),"- - -")</f>
        <v>SAMET KOCABEYOGLU</v>
      </c>
      <c r="I2" s="19" t="str">
        <f>IFERROR(VLOOKUP(F2,'Personel Bilgi'!A:D,4,0),"- - -")</f>
        <v>ERZURUM</v>
      </c>
      <c r="J2" s="19" t="str">
        <f>IFERROR(VLOOKUP(F2,'Personel Bilgi'!A:E,5,0),"- - -")</f>
        <v>MÜŞTERİ TEMSİLCİSİ</v>
      </c>
      <c r="K2" s="19" t="s">
        <v>49</v>
      </c>
      <c r="L2" s="19" t="s">
        <v>96</v>
      </c>
      <c r="M2" s="19" t="s">
        <v>40</v>
      </c>
      <c r="N2" s="36">
        <v>45992</v>
      </c>
      <c r="O2" s="36">
        <v>45992</v>
      </c>
      <c r="P2" s="19" t="s">
        <v>81</v>
      </c>
      <c r="Q2" s="37" t="s">
        <v>735</v>
      </c>
      <c r="R2" s="19" t="s">
        <v>86</v>
      </c>
      <c r="S2" s="19" t="s">
        <v>93</v>
      </c>
      <c r="T2" s="19" t="s">
        <v>95</v>
      </c>
      <c r="U2" s="37" t="s">
        <v>735</v>
      </c>
      <c r="V2" s="38" t="s">
        <v>736</v>
      </c>
      <c r="W2" s="35">
        <v>500081</v>
      </c>
      <c r="X2" s="19" t="str">
        <f>IFERROR(VLOOKUP(W2,'Personel Bilgi'!A:B,2,0),"---")</f>
        <v>BEYZA YAREN TUNCAY</v>
      </c>
      <c r="Y2" s="19" t="str">
        <f>IFERROR(VLOOKUP(W2,'Personel Bilgi'!A:C,3,0),"---")</f>
        <v>SALTUK BUGRAHAN TAYMUS</v>
      </c>
      <c r="Z2" s="19" t="s">
        <v>95</v>
      </c>
      <c r="AA2" s="38" t="s">
        <v>617</v>
      </c>
      <c r="AB2" s="19" t="s">
        <v>49</v>
      </c>
      <c r="AC2" s="19" t="s">
        <v>96</v>
      </c>
      <c r="AD2" s="19" t="s">
        <v>40</v>
      </c>
    </row>
    <row r="3" spans="1:34" x14ac:dyDescent="0.25">
      <c r="A3" s="19" t="s">
        <v>11</v>
      </c>
      <c r="B3" s="19" t="s">
        <v>727</v>
      </c>
      <c r="C3" s="19">
        <v>5076271698</v>
      </c>
      <c r="D3" s="19" t="s">
        <v>16</v>
      </c>
      <c r="E3" s="19" t="str">
        <f>IFERROR(VLOOKUP(D3,Tanımlar!C:D,2,0),"- - -")</f>
        <v>DAĞITIM</v>
      </c>
      <c r="F3" s="35">
        <v>111220</v>
      </c>
      <c r="G3" s="19" t="str">
        <f>IFERROR(VLOOKUP(F3,'Personel Bilgi'!A:B,2,0),"- - - ")</f>
        <v>MAHIZER BUKET AKBABA</v>
      </c>
      <c r="H3" s="19" t="str">
        <f>IFERROR(VLOOKUP(F3,'Personel Bilgi'!A:D,3,0),"- - -")</f>
        <v>SAFAK TOPTAS</v>
      </c>
      <c r="I3" s="19" t="str">
        <f>IFERROR(VLOOKUP(F3,'Personel Bilgi'!A:D,4,0),"- - -")</f>
        <v>KARS</v>
      </c>
      <c r="J3" s="19" t="str">
        <f>IFERROR(VLOOKUP(F3,'Personel Bilgi'!A:E,5,0),"- - -")</f>
        <v>MÜŞTERİ TEMSİLCİSİ</v>
      </c>
      <c r="K3" s="19" t="s">
        <v>49</v>
      </c>
      <c r="L3" s="19" t="s">
        <v>41</v>
      </c>
      <c r="M3" s="19" t="s">
        <v>42</v>
      </c>
      <c r="N3" s="36">
        <v>45994</v>
      </c>
      <c r="O3" s="36">
        <v>45994</v>
      </c>
      <c r="P3" s="19" t="s">
        <v>81</v>
      </c>
      <c r="Q3" s="37" t="s">
        <v>735</v>
      </c>
      <c r="R3" s="19" t="s">
        <v>86</v>
      </c>
      <c r="S3" s="19" t="s">
        <v>93</v>
      </c>
      <c r="T3" s="19" t="s">
        <v>95</v>
      </c>
      <c r="U3" s="37" t="s">
        <v>735</v>
      </c>
      <c r="V3" s="19" t="s">
        <v>736</v>
      </c>
      <c r="W3" s="35">
        <v>500081</v>
      </c>
      <c r="X3" s="19" t="str">
        <f>IFERROR(VLOOKUP(W3,'Personel Bilgi'!A:B,2,0),"---")</f>
        <v>BEYZA YAREN TUNCAY</v>
      </c>
      <c r="Y3" s="19" t="str">
        <f>IFERROR(VLOOKUP(W3,'Personel Bilgi'!A:C,3,0),"---")</f>
        <v>SALTUK BUGRAHAN TAYMUS</v>
      </c>
      <c r="Z3" s="19" t="s">
        <v>95</v>
      </c>
      <c r="AA3" s="38" t="s">
        <v>617</v>
      </c>
      <c r="AB3" s="19" t="s">
        <v>49</v>
      </c>
      <c r="AC3" s="19" t="s">
        <v>41</v>
      </c>
      <c r="AD3" s="19" t="s">
        <v>42</v>
      </c>
    </row>
    <row r="4" spans="1:34" x14ac:dyDescent="0.25">
      <c r="A4" s="19" t="s">
        <v>11</v>
      </c>
      <c r="B4" s="19" t="s">
        <v>728</v>
      </c>
      <c r="C4" s="19">
        <v>5383176934</v>
      </c>
      <c r="D4" s="19" t="s">
        <v>14</v>
      </c>
      <c r="E4" s="19" t="str">
        <f>IFERROR(VLOOKUP(D4,Tanımlar!C:D,2,0),"- - -")</f>
        <v>DAĞITIM</v>
      </c>
      <c r="F4" s="35">
        <v>500141</v>
      </c>
      <c r="G4" s="19" t="str">
        <f>IFERROR(VLOOKUP(F4,'Personel Bilgi'!A:B,2,0),"- - - ")</f>
        <v>ZIHNI AKPINAR</v>
      </c>
      <c r="H4" s="19" t="str">
        <f>IFERROR(VLOOKUP(F4,'Personel Bilgi'!A:D,3,0),"- - -")</f>
        <v>SAMET KOCABEYOGLU</v>
      </c>
      <c r="I4" s="19" t="str">
        <f>IFERROR(VLOOKUP(F4,'Personel Bilgi'!A:D,4,0),"- - -")</f>
        <v>ERZURUM</v>
      </c>
      <c r="J4" s="19" t="str">
        <f>IFERROR(VLOOKUP(F4,'Personel Bilgi'!A:E,5,0),"- - -")</f>
        <v>MÜŞTERİ TEMSİLCİSİ</v>
      </c>
      <c r="K4" s="19" t="s">
        <v>49</v>
      </c>
      <c r="L4" s="19" t="s">
        <v>97</v>
      </c>
      <c r="M4" s="19" t="s">
        <v>21</v>
      </c>
      <c r="N4" s="36">
        <v>45993</v>
      </c>
      <c r="O4" s="36">
        <v>45994</v>
      </c>
      <c r="P4" s="21" t="s">
        <v>1145</v>
      </c>
      <c r="Q4" s="37" t="s">
        <v>735</v>
      </c>
      <c r="R4" s="19" t="s">
        <v>86</v>
      </c>
      <c r="S4" s="19" t="s">
        <v>92</v>
      </c>
      <c r="T4" s="19" t="s">
        <v>94</v>
      </c>
      <c r="U4" s="37">
        <v>0</v>
      </c>
      <c r="V4" s="19" t="s">
        <v>736</v>
      </c>
      <c r="W4" s="35">
        <v>500153</v>
      </c>
      <c r="X4" s="19" t="str">
        <f>IFERROR(VLOOKUP(W4,'Personel Bilgi'!A:B,2,0),"---")</f>
        <v>ESRA YILMAZ</v>
      </c>
      <c r="Y4" s="19" t="str">
        <f>IFERROR(VLOOKUP(W4,'Personel Bilgi'!A:C,3,0),"---")</f>
        <v>KURSAD TERCANLI</v>
      </c>
      <c r="Z4" s="19" t="s">
        <v>95</v>
      </c>
      <c r="AA4" s="38" t="s">
        <v>617</v>
      </c>
      <c r="AB4" s="19" t="s">
        <v>49</v>
      </c>
      <c r="AC4" s="19" t="s">
        <v>97</v>
      </c>
      <c r="AD4" s="19" t="s">
        <v>21</v>
      </c>
    </row>
    <row r="5" spans="1:34" s="19" customFormat="1" ht="15" x14ac:dyDescent="0.25">
      <c r="A5" s="19" t="s">
        <v>11</v>
      </c>
      <c r="B5" s="19" t="s">
        <v>729</v>
      </c>
      <c r="C5" s="19">
        <v>5536499902</v>
      </c>
      <c r="D5" s="19" t="s">
        <v>12</v>
      </c>
      <c r="E5" s="19" t="str">
        <f>IFERROR(VLOOKUP(D5,Tanımlar!C:D,2,0),"- - -")</f>
        <v>DAĞITIM</v>
      </c>
      <c r="F5" s="19">
        <v>500170</v>
      </c>
      <c r="G5" s="19" t="str">
        <f>IFERROR(VLOOKUP(F5,'Personel Bilgi'!A:B,2,0),"- - - ")</f>
        <v>BURAK KAYA</v>
      </c>
      <c r="H5" s="19" t="str">
        <f>IFERROR(VLOOKUP(F5,'Personel Bilgi'!A:D,3,0),"- - -")</f>
        <v>ERDOGAN DURUK</v>
      </c>
      <c r="I5" s="19" t="str">
        <f>IFERROR(VLOOKUP(F5,'Personel Bilgi'!A:D,4,0),"- - -")</f>
        <v>ERZURUM</v>
      </c>
      <c r="J5" s="19" t="str">
        <f>IFERROR(VLOOKUP(F5,'Personel Bilgi'!A:E,5,0),"- - -")</f>
        <v>MÜŞTERİ TEMSİLCİSİ</v>
      </c>
      <c r="K5" s="19" t="s">
        <v>50</v>
      </c>
      <c r="L5" s="19" t="s">
        <v>96</v>
      </c>
      <c r="M5" s="19" t="s">
        <v>37</v>
      </c>
      <c r="N5" s="36">
        <v>45993</v>
      </c>
      <c r="O5" s="36">
        <v>45994</v>
      </c>
      <c r="P5" s="19" t="s">
        <v>81</v>
      </c>
      <c r="Q5" s="19" t="s">
        <v>735</v>
      </c>
      <c r="R5" s="19" t="s">
        <v>88</v>
      </c>
      <c r="S5" s="19" t="s">
        <v>92</v>
      </c>
      <c r="T5" s="19" t="s">
        <v>94</v>
      </c>
      <c r="U5" s="19">
        <v>0</v>
      </c>
      <c r="V5" s="19" t="s">
        <v>736</v>
      </c>
      <c r="W5" s="19">
        <v>500155</v>
      </c>
      <c r="X5" s="19" t="str">
        <f>IFERROR(VLOOKUP(W5,'Personel Bilgi'!A:B,2,0),"---")</f>
        <v>FATMA NUR EZGIN</v>
      </c>
      <c r="Y5" s="19" t="str">
        <f>IFERROR(VLOOKUP(W5,'Personel Bilgi'!A:C,3,0),"---")</f>
        <v>KURSAD TERCANLI</v>
      </c>
      <c r="Z5" s="19" t="s">
        <v>94</v>
      </c>
      <c r="AA5" s="19" t="s">
        <v>616</v>
      </c>
      <c r="AB5" s="19" t="s">
        <v>50</v>
      </c>
      <c r="AC5" s="19" t="s">
        <v>96</v>
      </c>
      <c r="AD5" s="19" t="s">
        <v>37</v>
      </c>
      <c r="AE5" s="48"/>
      <c r="AF5" s="48"/>
      <c r="AG5" s="48"/>
      <c r="AH5" s="48"/>
    </row>
    <row r="6" spans="1:34" x14ac:dyDescent="0.25">
      <c r="A6" s="19" t="s">
        <v>11</v>
      </c>
      <c r="B6" s="19" t="s">
        <v>730</v>
      </c>
      <c r="C6" s="19">
        <v>5333533859</v>
      </c>
      <c r="D6" s="19" t="s">
        <v>15</v>
      </c>
      <c r="E6" s="19" t="str">
        <f>IFERROR(VLOOKUP(D6,Tanımlar!C:D,2,0),"- - -")</f>
        <v>PERAKENDE</v>
      </c>
      <c r="F6" s="35">
        <v>600528</v>
      </c>
      <c r="G6" s="19" t="str">
        <f>IFERROR(VLOOKUP(F6,'Personel Bilgi'!A:B,2,0),"- - - ")</f>
        <v>SERAP COSKUNARSLAN</v>
      </c>
      <c r="H6" s="19" t="str">
        <f>IFERROR(VLOOKUP(F6,'Personel Bilgi'!A:D,3,0),"- - -")</f>
        <v>GORKEM SERT</v>
      </c>
      <c r="I6" s="19" t="str">
        <f>IFERROR(VLOOKUP(F6,'Personel Bilgi'!A:D,4,0),"- - -")</f>
        <v>ANKARA</v>
      </c>
      <c r="J6" s="19" t="str">
        <f>IFERROR(VLOOKUP(F6,'Personel Bilgi'!A:E,5,0),"- - -")</f>
        <v>MÜŞTERİ TEMSİLCİSİ</v>
      </c>
      <c r="K6" s="19" t="s">
        <v>66</v>
      </c>
      <c r="L6" s="19" t="s">
        <v>97</v>
      </c>
      <c r="M6" s="19" t="s">
        <v>21</v>
      </c>
      <c r="N6" s="36">
        <v>45993</v>
      </c>
      <c r="O6" s="36">
        <v>46006</v>
      </c>
      <c r="P6" s="19" t="s">
        <v>81</v>
      </c>
      <c r="Q6" s="37" t="s">
        <v>735</v>
      </c>
      <c r="R6" s="19" t="s">
        <v>86</v>
      </c>
      <c r="S6" s="19" t="s">
        <v>92</v>
      </c>
      <c r="T6" s="19" t="s">
        <v>95</v>
      </c>
      <c r="U6" s="37">
        <v>100</v>
      </c>
      <c r="V6" s="19" t="s">
        <v>736</v>
      </c>
      <c r="W6" s="35">
        <v>111108</v>
      </c>
      <c r="X6" s="19" t="str">
        <f>IFERROR(VLOOKUP(W6,'Personel Bilgi'!A:B,2,0),"---")</f>
        <v>BERKAN COSKUNOZ</v>
      </c>
      <c r="Y6" s="19" t="str">
        <f>IFERROR(VLOOKUP(W6,'Personel Bilgi'!A:C,3,0),"---")</f>
        <v>KURTHAN FERDI CIHANTIMUR</v>
      </c>
      <c r="Z6" s="19" t="s">
        <v>95</v>
      </c>
      <c r="AA6" s="38" t="s">
        <v>617</v>
      </c>
      <c r="AB6" s="19" t="s">
        <v>66</v>
      </c>
      <c r="AC6" s="19" t="s">
        <v>97</v>
      </c>
      <c r="AD6" s="19" t="s">
        <v>21</v>
      </c>
    </row>
    <row r="7" spans="1:34" x14ac:dyDescent="0.25">
      <c r="A7" s="19" t="s">
        <v>11</v>
      </c>
      <c r="B7" s="19" t="s">
        <v>731</v>
      </c>
      <c r="C7" s="19">
        <v>5317348507</v>
      </c>
      <c r="D7" s="19" t="s">
        <v>13</v>
      </c>
      <c r="E7" s="19" t="str">
        <f>IFERROR(VLOOKUP(D7,Tanımlar!C:D,2,0),"- - -")</f>
        <v>PERAKENDE</v>
      </c>
      <c r="F7" s="35">
        <v>600558</v>
      </c>
      <c r="G7" s="19" t="str">
        <f>IFERROR(VLOOKUP(F7,'Personel Bilgi'!A:B,2,0),"- - - ")</f>
        <v>MELIKE TOPSOY</v>
      </c>
      <c r="H7" s="19" t="str">
        <f>IFERROR(VLOOKUP(F7,'Personel Bilgi'!A:D,3,0),"- - -")</f>
        <v>BUSRA OLCULMUS</v>
      </c>
      <c r="I7" s="19" t="str">
        <f>IFERROR(VLOOKUP(F7,'Personel Bilgi'!A:D,4,0),"- - -")</f>
        <v>ANKARA</v>
      </c>
      <c r="J7" s="19" t="str">
        <f>IFERROR(VLOOKUP(F7,'Personel Bilgi'!A:E,5,0),"- - -")</f>
        <v>MÜŞTERİ TEMSİLCİSİ</v>
      </c>
      <c r="K7" s="19" t="s">
        <v>66</v>
      </c>
      <c r="L7" s="19" t="s">
        <v>96</v>
      </c>
      <c r="M7" s="19" t="s">
        <v>28</v>
      </c>
      <c r="N7" s="36">
        <v>45993</v>
      </c>
      <c r="O7" s="36">
        <v>45995</v>
      </c>
      <c r="P7" s="19" t="s">
        <v>81</v>
      </c>
      <c r="Q7" s="37" t="s">
        <v>735</v>
      </c>
      <c r="R7" s="19" t="s">
        <v>86</v>
      </c>
      <c r="S7" s="19" t="s">
        <v>92</v>
      </c>
      <c r="T7" s="19" t="s">
        <v>95</v>
      </c>
      <c r="U7" s="37">
        <v>100</v>
      </c>
      <c r="V7" s="19" t="s">
        <v>736</v>
      </c>
      <c r="W7" s="35">
        <v>110707</v>
      </c>
      <c r="X7" s="19" t="str">
        <f>IFERROR(VLOOKUP(W7,'Personel Bilgi'!A:B,2,0),"---")</f>
        <v>MELISA YIGIT</v>
      </c>
      <c r="Y7" s="19" t="str">
        <f>IFERROR(VLOOKUP(W7,'Personel Bilgi'!A:C,3,0),"---")</f>
        <v>MUHAMMET AKSU</v>
      </c>
      <c r="Z7" s="19" t="s">
        <v>94</v>
      </c>
      <c r="AA7" s="38" t="s">
        <v>616</v>
      </c>
      <c r="AB7" s="19" t="s">
        <v>66</v>
      </c>
      <c r="AC7" s="19" t="s">
        <v>96</v>
      </c>
      <c r="AD7" s="19" t="s">
        <v>28</v>
      </c>
    </row>
    <row r="8" spans="1:34" x14ac:dyDescent="0.25">
      <c r="A8" s="19" t="s">
        <v>11</v>
      </c>
      <c r="B8" s="19" t="s">
        <v>732</v>
      </c>
      <c r="C8" s="19">
        <v>5339501821</v>
      </c>
      <c r="D8" s="19" t="s">
        <v>14</v>
      </c>
      <c r="E8" s="19" t="str">
        <f>IFERROR(VLOOKUP(D8,Tanımlar!C:D,2,0),"- - -")</f>
        <v>DAĞITIM</v>
      </c>
      <c r="F8" s="19">
        <v>600032</v>
      </c>
      <c r="G8" s="19" t="str">
        <f>IFERROR(VLOOKUP(F8,'Personel Bilgi'!A:B,2,0),"- - - ")</f>
        <v>ASYA DAG</v>
      </c>
      <c r="H8" s="19" t="str">
        <f>IFERROR(VLOOKUP(F8,'Personel Bilgi'!A:D,3,0),"- - -")</f>
        <v>ASYA DAG</v>
      </c>
      <c r="I8" s="19" t="str">
        <f>IFERROR(VLOOKUP(F8,'Personel Bilgi'!A:D,4,0),"- - -")</f>
        <v>ANKARA</v>
      </c>
      <c r="J8" s="19" t="str">
        <f>IFERROR(VLOOKUP(F8,'Personel Bilgi'!A:E,5,0),"- - -")</f>
        <v>TAKIM LİDERİ</v>
      </c>
      <c r="K8" s="19" t="s">
        <v>49</v>
      </c>
      <c r="L8" s="19" t="s">
        <v>97</v>
      </c>
      <c r="M8" s="19" t="s">
        <v>734</v>
      </c>
      <c r="N8" s="36">
        <v>45994</v>
      </c>
      <c r="O8" s="36">
        <v>45996</v>
      </c>
      <c r="P8" s="19" t="s">
        <v>81</v>
      </c>
      <c r="Q8" s="37" t="s">
        <v>735</v>
      </c>
      <c r="R8" s="19" t="s">
        <v>86</v>
      </c>
      <c r="S8" s="19" t="s">
        <v>93</v>
      </c>
      <c r="T8" s="19" t="s">
        <v>95</v>
      </c>
      <c r="U8" s="37" t="s">
        <v>735</v>
      </c>
      <c r="V8" s="19" t="s">
        <v>736</v>
      </c>
      <c r="W8" s="35">
        <v>110707</v>
      </c>
      <c r="X8" s="19" t="str">
        <f>IFERROR(VLOOKUP(W8,'Personel Bilgi'!A:B,2,0),"---")</f>
        <v>MELISA YIGIT</v>
      </c>
      <c r="Y8" s="19" t="str">
        <f>IFERROR(VLOOKUP(W8,'Personel Bilgi'!A:C,3,0),"---")</f>
        <v>MUHAMMET AKSU</v>
      </c>
      <c r="Z8" s="19" t="str">
        <f>IFERROR(VLOOKUP(X8,'Personel Bilgi'!B:D,3,0),"---")</f>
        <v>KARS</v>
      </c>
      <c r="AA8" s="38" t="str">
        <f>IFERROR(VLOOKUP(Y8,'Personel Bilgi'!C:E,3,0),"---")</f>
        <v>MÜŞTERİ TEMSİLCİSİ</v>
      </c>
      <c r="AB8" s="19" t="s">
        <v>49</v>
      </c>
      <c r="AC8" s="19" t="s">
        <v>97</v>
      </c>
      <c r="AD8" s="19" t="s">
        <v>734</v>
      </c>
    </row>
    <row r="9" spans="1:34" x14ac:dyDescent="0.25">
      <c r="A9" s="19" t="s">
        <v>11</v>
      </c>
      <c r="B9" s="19" t="s">
        <v>733</v>
      </c>
      <c r="C9" s="19">
        <v>5060215966</v>
      </c>
      <c r="D9" s="19" t="s">
        <v>13</v>
      </c>
      <c r="E9" s="19" t="str">
        <f>IFERROR(VLOOKUP(D9,Tanımlar!C:D,2,0),"- - -")</f>
        <v>PERAKENDE</v>
      </c>
      <c r="F9" s="19">
        <v>110917</v>
      </c>
      <c r="G9" s="19" t="str">
        <f>IFERROR(VLOOKUP(F9,'Personel Bilgi'!A:B,2,0),"- - - ")</f>
        <v xml:space="preserve">BERAT ACAY </v>
      </c>
      <c r="H9" s="19" t="str">
        <f>IFERROR(VLOOKUP(F9,'Personel Bilgi'!A:D,3,0),"- - -")</f>
        <v>YAPRAK KARAKOC</v>
      </c>
      <c r="I9" s="19" t="str">
        <f>IFERROR(VLOOKUP(F9,'Personel Bilgi'!A:D,4,0),"- - -")</f>
        <v>KARS</v>
      </c>
      <c r="J9" s="19" t="str">
        <f>IFERROR(VLOOKUP(F9,'Personel Bilgi'!A:E,5,0),"- - -")</f>
        <v>MÜŞTERİ TEMSİLCİSİ</v>
      </c>
      <c r="K9" s="19" t="s">
        <v>66</v>
      </c>
      <c r="L9" s="19" t="s">
        <v>41</v>
      </c>
      <c r="M9" s="19" t="s">
        <v>42</v>
      </c>
      <c r="N9" s="36">
        <v>45994</v>
      </c>
      <c r="O9" s="36">
        <v>45996</v>
      </c>
      <c r="P9" s="19" t="s">
        <v>79</v>
      </c>
      <c r="Q9" s="37" t="s">
        <v>735</v>
      </c>
      <c r="R9" s="19" t="s">
        <v>86</v>
      </c>
      <c r="S9" s="19" t="s">
        <v>92</v>
      </c>
      <c r="T9" s="19" t="s">
        <v>94</v>
      </c>
      <c r="U9" s="37">
        <v>0</v>
      </c>
      <c r="V9" s="19" t="s">
        <v>736</v>
      </c>
      <c r="W9" s="35">
        <v>110707</v>
      </c>
      <c r="X9" s="19" t="str">
        <f>IFERROR(VLOOKUP(W9,'Personel Bilgi'!A:B,2,0),"---")</f>
        <v>MELISA YIGIT</v>
      </c>
      <c r="Y9" s="19" t="str">
        <f>IFERROR(VLOOKUP(W9,'Personel Bilgi'!A:C,3,0),"---")</f>
        <v>MUHAMMET AKSU</v>
      </c>
      <c r="Z9" s="19" t="str">
        <f>IFERROR(VLOOKUP(X9,'Personel Bilgi'!B:D,3,0),"---")</f>
        <v>KARS</v>
      </c>
      <c r="AA9" s="38" t="str">
        <f>IFERROR(VLOOKUP(Y9,'Personel Bilgi'!C:E,3,0),"---")</f>
        <v>MÜŞTERİ TEMSİLCİSİ</v>
      </c>
      <c r="AB9" s="19" t="s">
        <v>66</v>
      </c>
      <c r="AC9" s="19" t="s">
        <v>41</v>
      </c>
      <c r="AD9" s="19" t="s">
        <v>42</v>
      </c>
    </row>
    <row r="10" spans="1:34" x14ac:dyDescent="0.25">
      <c r="A10" s="19" t="s">
        <v>11</v>
      </c>
      <c r="B10" s="20" t="s">
        <v>737</v>
      </c>
      <c r="C10" s="19">
        <v>5326705837</v>
      </c>
      <c r="D10" s="19" t="s">
        <v>15</v>
      </c>
      <c r="E10" s="19" t="str">
        <f>IFERROR(VLOOKUP(D10,Tanımlar!C:D,2,0),"- - -")</f>
        <v>PERAKENDE</v>
      </c>
      <c r="F10" s="27">
        <v>111131</v>
      </c>
      <c r="G10" s="19" t="str">
        <f>IFERROR(VLOOKUP(F10,'Personel Bilgi'!A:B,2,0),"- - - ")</f>
        <v>ASENA BANU SONKURT</v>
      </c>
      <c r="H10" s="19" t="str">
        <f>IFERROR(VLOOKUP(F10,'Personel Bilgi'!A:D,3,0),"- - -")</f>
        <v>YAPRAK KARAKOC</v>
      </c>
      <c r="I10" s="19" t="str">
        <f>IFERROR(VLOOKUP(F10,'Personel Bilgi'!A:D,4,0),"- - -")</f>
        <v>KARS</v>
      </c>
      <c r="J10" s="19" t="str">
        <f>IFERROR(VLOOKUP(F10,'Personel Bilgi'!A:E,5,0),"- - -")</f>
        <v>MÜŞTERİ TEMSİLCİSİ</v>
      </c>
      <c r="K10" s="19" t="s">
        <v>65</v>
      </c>
      <c r="L10" s="19" t="s">
        <v>41</v>
      </c>
      <c r="M10" s="19" t="s">
        <v>43</v>
      </c>
      <c r="N10" s="36">
        <v>45994</v>
      </c>
      <c r="O10" s="36">
        <v>45996</v>
      </c>
      <c r="P10" s="19" t="s">
        <v>81</v>
      </c>
      <c r="Q10" s="37" t="s">
        <v>735</v>
      </c>
      <c r="R10" s="19" t="s">
        <v>86</v>
      </c>
      <c r="S10" s="19" t="s">
        <v>92</v>
      </c>
      <c r="T10" s="19" t="s">
        <v>95</v>
      </c>
      <c r="U10" s="37">
        <v>55</v>
      </c>
      <c r="V10" s="19" t="s">
        <v>736</v>
      </c>
      <c r="W10" s="35">
        <v>210162</v>
      </c>
      <c r="X10" s="19" t="str">
        <f>IFERROR(VLOOKUP(W10,'Personel Bilgi'!A:B,2,0),"---")</f>
        <v>FUNDA YAKISIR</v>
      </c>
      <c r="Y10" s="19" t="str">
        <f>IFERROR(VLOOKUP(W10,'Personel Bilgi'!A:C,3,0),"---")</f>
        <v>YAPRAK KARAKOC</v>
      </c>
      <c r="Z10" s="19" t="s">
        <v>95</v>
      </c>
      <c r="AA10" s="38" t="s">
        <v>617</v>
      </c>
      <c r="AB10" s="19" t="s">
        <v>65</v>
      </c>
      <c r="AC10" s="19" t="s">
        <v>41</v>
      </c>
      <c r="AD10" s="19" t="s">
        <v>43</v>
      </c>
    </row>
    <row r="11" spans="1:34" x14ac:dyDescent="0.25">
      <c r="A11" s="19" t="s">
        <v>11</v>
      </c>
      <c r="B11" s="20" t="s">
        <v>737</v>
      </c>
      <c r="C11" s="19">
        <v>5326705837</v>
      </c>
      <c r="D11" s="19" t="s">
        <v>15</v>
      </c>
      <c r="E11" s="27" t="str">
        <f>IFERROR(VLOOKUP(D11,Tanımlar!C:D,2,0),"- - -")</f>
        <v>PERAKENDE</v>
      </c>
      <c r="F11" s="27">
        <v>111098</v>
      </c>
      <c r="G11" s="19" t="str">
        <f>IFERROR(VLOOKUP(F11,'Personel Bilgi'!A:B,2,0),"- - - ")</f>
        <v>YETER DEMIRCI</v>
      </c>
      <c r="H11" s="19" t="str">
        <f>IFERROR(VLOOKUP(F11,'Personel Bilgi'!A:D,3,0),"- - -")</f>
        <v>CEYHAN AYRIC</v>
      </c>
      <c r="I11" s="19" t="str">
        <f>IFERROR(VLOOKUP(F11,'Personel Bilgi'!A:D,4,0),"- - -")</f>
        <v>KARS</v>
      </c>
      <c r="J11" s="19" t="str">
        <f>IFERROR(VLOOKUP(F11,'Personel Bilgi'!A:E,5,0),"- - -")</f>
        <v>MÜŞTERİ TEMSİLCİSİ</v>
      </c>
      <c r="K11" s="19" t="s">
        <v>65</v>
      </c>
      <c r="L11" s="19" t="s">
        <v>41</v>
      </c>
      <c r="M11" s="19" t="s">
        <v>44</v>
      </c>
      <c r="N11" s="36">
        <v>45994</v>
      </c>
      <c r="O11" s="36">
        <v>45996</v>
      </c>
      <c r="P11" s="19" t="s">
        <v>81</v>
      </c>
      <c r="Q11" s="37" t="s">
        <v>735</v>
      </c>
      <c r="R11" s="19" t="s">
        <v>86</v>
      </c>
      <c r="S11" s="19" t="s">
        <v>92</v>
      </c>
      <c r="T11" s="19" t="s">
        <v>94</v>
      </c>
      <c r="U11" s="37">
        <v>0</v>
      </c>
      <c r="V11" s="19" t="s">
        <v>736</v>
      </c>
      <c r="W11" s="35">
        <v>210162</v>
      </c>
      <c r="X11" s="19" t="str">
        <f>IFERROR(VLOOKUP(W11,'Personel Bilgi'!A:B,2,0),"---")</f>
        <v>FUNDA YAKISIR</v>
      </c>
      <c r="Y11" s="19" t="str">
        <f>IFERROR(VLOOKUP(W11,'Personel Bilgi'!A:C,3,0),"---")</f>
        <v>YAPRAK KARAKOC</v>
      </c>
      <c r="Z11" s="19" t="s">
        <v>95</v>
      </c>
      <c r="AA11" s="38" t="s">
        <v>617</v>
      </c>
      <c r="AB11" s="19" t="s">
        <v>65</v>
      </c>
      <c r="AC11" s="19" t="s">
        <v>41</v>
      </c>
      <c r="AD11" s="19" t="s">
        <v>44</v>
      </c>
    </row>
    <row r="12" spans="1:34" x14ac:dyDescent="0.25">
      <c r="A12" s="19" t="s">
        <v>11</v>
      </c>
      <c r="B12" s="21" t="s">
        <v>783</v>
      </c>
      <c r="C12" s="25">
        <v>5449182443</v>
      </c>
      <c r="D12" s="21" t="s">
        <v>14</v>
      </c>
      <c r="E12" s="27" t="str">
        <f>IFERROR(VLOOKUP(D12,Tanımlar!C:D,2,0),"- - -")</f>
        <v>DAĞITIM</v>
      </c>
      <c r="F12" s="27">
        <v>500164</v>
      </c>
      <c r="G12" s="19" t="str">
        <f>IFERROR(VLOOKUP(F12,'Personel Bilgi'!A:B,2,0),"- - - ")</f>
        <v>MUHAMMET TALHA BERKAY TERCANLI</v>
      </c>
      <c r="H12" s="19" t="str">
        <f>IFERROR(VLOOKUP(F12,'Personel Bilgi'!A:D,3,0),"- - -")</f>
        <v>KURSAD TERCANLI</v>
      </c>
      <c r="I12" s="19" t="str">
        <f>IFERROR(VLOOKUP(F12,'Personel Bilgi'!A:D,4,0),"- - -")</f>
        <v>ERZURUM</v>
      </c>
      <c r="J12" s="19" t="str">
        <f>IFERROR(VLOOKUP(F12,'Personel Bilgi'!A:E,5,0),"- - -")</f>
        <v>MÜŞTERİ TEMSİLCİSİ</v>
      </c>
      <c r="K12" s="21" t="s">
        <v>64</v>
      </c>
      <c r="L12" s="21" t="s">
        <v>41</v>
      </c>
      <c r="M12" s="21" t="s">
        <v>789</v>
      </c>
      <c r="N12" s="36">
        <v>45992</v>
      </c>
      <c r="O12" s="36">
        <v>45993</v>
      </c>
      <c r="P12" s="19" t="s">
        <v>81</v>
      </c>
      <c r="Q12" s="37" t="s">
        <v>735</v>
      </c>
      <c r="R12" s="21" t="s">
        <v>790</v>
      </c>
      <c r="S12" s="21" t="s">
        <v>93</v>
      </c>
      <c r="T12" s="21" t="s">
        <v>95</v>
      </c>
      <c r="U12" s="37" t="s">
        <v>735</v>
      </c>
      <c r="V12" s="21" t="s">
        <v>736</v>
      </c>
      <c r="W12" s="21">
        <v>111192</v>
      </c>
      <c r="X12" s="19" t="str">
        <f>IFERROR(VLOOKUP(W12,'Personel Bilgi'!A:B,2,0),"---")</f>
        <v>RABIA TEMUR</v>
      </c>
      <c r="Y12" s="19" t="str">
        <f>IFERROR(VLOOKUP(W12,'Personel Bilgi'!A:C,3,0),"---")</f>
        <v>MUSTAFA OZAYAG</v>
      </c>
      <c r="Z12" s="22" t="s">
        <v>95</v>
      </c>
      <c r="AA12" s="38" t="s">
        <v>617</v>
      </c>
      <c r="AB12" s="19" t="s">
        <v>64</v>
      </c>
      <c r="AC12" s="19" t="s">
        <v>41</v>
      </c>
      <c r="AD12" s="19" t="s">
        <v>789</v>
      </c>
    </row>
    <row r="13" spans="1:34" x14ac:dyDescent="0.25">
      <c r="A13" s="19" t="s">
        <v>11</v>
      </c>
      <c r="B13" s="22" t="s">
        <v>784</v>
      </c>
      <c r="C13" s="25">
        <v>5301327734</v>
      </c>
      <c r="D13" s="21" t="s">
        <v>14</v>
      </c>
      <c r="E13" s="27" t="str">
        <f>IFERROR(VLOOKUP(D13,Tanımlar!C:D,2,0),"- - -")</f>
        <v>DAĞITIM</v>
      </c>
      <c r="F13" s="27">
        <v>500025</v>
      </c>
      <c r="G13" s="19" t="s">
        <v>391</v>
      </c>
      <c r="H13" s="19" t="s">
        <v>391</v>
      </c>
      <c r="I13" s="19" t="s">
        <v>19</v>
      </c>
      <c r="J13" s="19" t="s">
        <v>788</v>
      </c>
      <c r="K13" s="21" t="s">
        <v>49</v>
      </c>
      <c r="L13" s="21" t="s">
        <v>97</v>
      </c>
      <c r="M13" s="21" t="s">
        <v>22</v>
      </c>
      <c r="N13" s="36">
        <v>45993</v>
      </c>
      <c r="O13" s="36">
        <v>45993</v>
      </c>
      <c r="P13" s="19" t="s">
        <v>81</v>
      </c>
      <c r="Q13" s="37" t="s">
        <v>735</v>
      </c>
      <c r="R13" s="21" t="s">
        <v>790</v>
      </c>
      <c r="S13" s="21" t="s">
        <v>93</v>
      </c>
      <c r="T13" s="21" t="s">
        <v>95</v>
      </c>
      <c r="U13" s="37" t="s">
        <v>735</v>
      </c>
      <c r="V13" s="21" t="s">
        <v>736</v>
      </c>
      <c r="W13" s="21">
        <v>500107</v>
      </c>
      <c r="X13" s="19" t="str">
        <f>IFERROR(VLOOKUP(W13,'Personel Bilgi'!A:B,2,0),"---")</f>
        <v>MERVENUR CELIK</v>
      </c>
      <c r="Y13" s="19" t="str">
        <f>IFERROR(VLOOKUP(W13,'Personel Bilgi'!A:C,3,0),"---")</f>
        <v>METEHAN EMRE SIRMALI</v>
      </c>
      <c r="Z13" s="22" t="s">
        <v>95</v>
      </c>
      <c r="AA13" s="38" t="s">
        <v>617</v>
      </c>
      <c r="AB13" s="19" t="s">
        <v>49</v>
      </c>
      <c r="AC13" s="19" t="s">
        <v>97</v>
      </c>
      <c r="AD13" s="19" t="s">
        <v>22</v>
      </c>
    </row>
    <row r="14" spans="1:34" x14ac:dyDescent="0.25">
      <c r="A14" s="19" t="s">
        <v>11</v>
      </c>
      <c r="B14" s="22" t="s">
        <v>785</v>
      </c>
      <c r="C14" s="25">
        <v>5056692737</v>
      </c>
      <c r="D14" s="22" t="s">
        <v>14</v>
      </c>
      <c r="E14" s="27" t="str">
        <f>IFERROR(VLOOKUP(D14,Tanımlar!C:D,2,0),"- - -")</f>
        <v>DAĞITIM</v>
      </c>
      <c r="F14" s="27">
        <v>111049</v>
      </c>
      <c r="G14" s="19" t="str">
        <f>IFERROR(VLOOKUP(F14,'Personel Bilgi'!A:B,2,0),"- - - ")</f>
        <v>BUSRA YILDIRIM</v>
      </c>
      <c r="H14" s="19" t="str">
        <f>IFERROR(VLOOKUP(F14,'Personel Bilgi'!A:D,3,0),"- - -")</f>
        <v>YAREN OZAYAG</v>
      </c>
      <c r="I14" s="19" t="str">
        <f>IFERROR(VLOOKUP(F14,'Personel Bilgi'!A:D,4,0),"- - -")</f>
        <v>KARS</v>
      </c>
      <c r="J14" s="19" t="str">
        <f>IFERROR(VLOOKUP(F14,'Personel Bilgi'!A:E,5,0),"- - -")</f>
        <v>MÜŞTERİ TEMSİLCİSİ</v>
      </c>
      <c r="K14" s="21" t="s">
        <v>50</v>
      </c>
      <c r="L14" s="21" t="s">
        <v>96</v>
      </c>
      <c r="M14" s="21" t="s">
        <v>37</v>
      </c>
      <c r="N14" s="36">
        <v>45993</v>
      </c>
      <c r="O14" s="36">
        <v>45993</v>
      </c>
      <c r="P14" s="19" t="s">
        <v>81</v>
      </c>
      <c r="Q14" s="37" t="s">
        <v>735</v>
      </c>
      <c r="R14" s="21" t="s">
        <v>790</v>
      </c>
      <c r="S14" s="21" t="s">
        <v>92</v>
      </c>
      <c r="T14" s="21" t="s">
        <v>95</v>
      </c>
      <c r="U14" s="37">
        <v>100</v>
      </c>
      <c r="V14" s="21" t="s">
        <v>736</v>
      </c>
      <c r="W14" s="21">
        <v>500083</v>
      </c>
      <c r="X14" s="19" t="str">
        <f>IFERROR(VLOOKUP(W14,'Personel Bilgi'!A:B,2,0),"---")</f>
        <v>SEDANUR ARSLAN</v>
      </c>
      <c r="Y14" s="19" t="str">
        <f>IFERROR(VLOOKUP(W14,'Personel Bilgi'!A:C,3,0),"---")</f>
        <v>SALTUK BUGRAHAN TAYMUS</v>
      </c>
      <c r="Z14" s="22" t="s">
        <v>95</v>
      </c>
      <c r="AA14" s="38" t="s">
        <v>617</v>
      </c>
      <c r="AB14" s="19" t="s">
        <v>50</v>
      </c>
      <c r="AC14" s="19" t="s">
        <v>96</v>
      </c>
      <c r="AD14" s="19" t="s">
        <v>37</v>
      </c>
    </row>
    <row r="15" spans="1:34" x14ac:dyDescent="0.25">
      <c r="A15" s="19" t="s">
        <v>11</v>
      </c>
      <c r="B15" s="22" t="s">
        <v>786</v>
      </c>
      <c r="C15" s="25">
        <v>5010881907</v>
      </c>
      <c r="D15" s="26" t="s">
        <v>14</v>
      </c>
      <c r="E15" s="27" t="str">
        <f>IFERROR(VLOOKUP(D15,Tanımlar!C:D,2,0),"- - -")</f>
        <v>DAĞITIM</v>
      </c>
      <c r="F15" s="27">
        <v>600189</v>
      </c>
      <c r="G15" s="19" t="s">
        <v>645</v>
      </c>
      <c r="H15" s="19" t="s">
        <v>645</v>
      </c>
      <c r="I15" s="19" t="str">
        <f>IFERROR(VLOOKUP(F15,'Personel Bilgi'!A:D,4,0),"- - -")</f>
        <v>ERZURUM</v>
      </c>
      <c r="J15" s="19" t="s">
        <v>788</v>
      </c>
      <c r="K15" s="21" t="s">
        <v>57</v>
      </c>
      <c r="L15" s="21" t="s">
        <v>97</v>
      </c>
      <c r="M15" s="21" t="s">
        <v>22</v>
      </c>
      <c r="N15" s="36">
        <v>45993</v>
      </c>
      <c r="O15" s="36">
        <v>45993</v>
      </c>
      <c r="P15" s="19" t="s">
        <v>81</v>
      </c>
      <c r="Q15" s="37" t="s">
        <v>735</v>
      </c>
      <c r="R15" s="21" t="s">
        <v>790</v>
      </c>
      <c r="S15" s="21" t="s">
        <v>93</v>
      </c>
      <c r="T15" s="21" t="s">
        <v>95</v>
      </c>
      <c r="U15" s="37" t="s">
        <v>735</v>
      </c>
      <c r="V15" s="21" t="s">
        <v>736</v>
      </c>
      <c r="W15" s="21">
        <v>500049</v>
      </c>
      <c r="X15" s="19" t="str">
        <f>IFERROR(VLOOKUP(W15,'Personel Bilgi'!A:B,2,0),"---")</f>
        <v>FERHAT ATICI</v>
      </c>
      <c r="Y15" s="19" t="str">
        <f>IFERROR(VLOOKUP(W15,'Personel Bilgi'!A:C,3,0),"---")</f>
        <v>MEHMET ALI SAVAN</v>
      </c>
      <c r="Z15" s="22" t="s">
        <v>95</v>
      </c>
      <c r="AA15" s="38" t="s">
        <v>617</v>
      </c>
      <c r="AB15" s="19" t="s">
        <v>57</v>
      </c>
      <c r="AC15" s="19" t="s">
        <v>97</v>
      </c>
      <c r="AD15" s="19" t="s">
        <v>22</v>
      </c>
    </row>
    <row r="16" spans="1:34" x14ac:dyDescent="0.25">
      <c r="A16" s="19" t="s">
        <v>11</v>
      </c>
      <c r="B16" s="22" t="s">
        <v>787</v>
      </c>
      <c r="C16" s="25">
        <v>5010881907</v>
      </c>
      <c r="D16" s="19" t="s">
        <v>14</v>
      </c>
      <c r="E16" s="27" t="str">
        <f>IFERROR(VLOOKUP(D16,Tanımlar!C:D,2,0),"- - -")</f>
        <v>DAĞITIM</v>
      </c>
      <c r="F16" s="27">
        <v>500065</v>
      </c>
      <c r="G16" s="19" t="str">
        <f>IFERROR(VLOOKUP(F16,'Personel Bilgi'!A:B,2,0),"- - - ")</f>
        <v>BATUHAN GULER</v>
      </c>
      <c r="H16" s="19" t="str">
        <f>IFERROR(VLOOKUP(F16,'Personel Bilgi'!A:D,3,0),"- - -")</f>
        <v>SALTUK BUGRAHAN TAYMUS</v>
      </c>
      <c r="I16" s="19" t="str">
        <f>IFERROR(VLOOKUP(F16,'Personel Bilgi'!A:D,4,0),"- - -")</f>
        <v>ERZURUM</v>
      </c>
      <c r="J16" s="19" t="str">
        <f>IFERROR(VLOOKUP(F16,'Personel Bilgi'!A:E,5,0),"- - -")</f>
        <v>MÜŞTERİ TEMSİLCİSİ</v>
      </c>
      <c r="K16" s="21" t="s">
        <v>57</v>
      </c>
      <c r="L16" s="21" t="s">
        <v>97</v>
      </c>
      <c r="M16" s="21" t="s">
        <v>22</v>
      </c>
      <c r="N16" s="36">
        <v>45993</v>
      </c>
      <c r="O16" s="36">
        <v>45993</v>
      </c>
      <c r="P16" s="21" t="s">
        <v>1145</v>
      </c>
      <c r="Q16" s="37" t="s">
        <v>735</v>
      </c>
      <c r="R16" s="21" t="s">
        <v>790</v>
      </c>
      <c r="S16" s="21" t="s">
        <v>92</v>
      </c>
      <c r="T16" s="21" t="s">
        <v>94</v>
      </c>
      <c r="U16" s="37">
        <v>0</v>
      </c>
      <c r="V16" s="21" t="s">
        <v>736</v>
      </c>
      <c r="W16" s="21">
        <v>500049</v>
      </c>
      <c r="X16" s="19" t="str">
        <f>IFERROR(VLOOKUP(W16,'Personel Bilgi'!A:B,2,0),"---")</f>
        <v>FERHAT ATICI</v>
      </c>
      <c r="Y16" s="19" t="str">
        <f>IFERROR(VLOOKUP(W16,'Personel Bilgi'!A:C,3,0),"---")</f>
        <v>MEHMET ALI SAVAN</v>
      </c>
      <c r="Z16" s="22" t="s">
        <v>95</v>
      </c>
      <c r="AA16" s="38" t="s">
        <v>617</v>
      </c>
      <c r="AB16" s="19" t="s">
        <v>57</v>
      </c>
      <c r="AC16" s="19" t="s">
        <v>97</v>
      </c>
      <c r="AD16" s="19" t="s">
        <v>22</v>
      </c>
    </row>
    <row r="17" spans="1:30" x14ac:dyDescent="0.25">
      <c r="A17" s="19" t="s">
        <v>11</v>
      </c>
      <c r="B17" s="23" t="s">
        <v>737</v>
      </c>
      <c r="C17" s="25">
        <v>5326705837</v>
      </c>
      <c r="D17" s="19" t="s">
        <v>15</v>
      </c>
      <c r="E17" s="19" t="str">
        <f>IFERROR(VLOOKUP(D17,Tanımlar!C:D,2,0),"- - -")</f>
        <v>PERAKENDE</v>
      </c>
      <c r="F17" s="27">
        <v>600657</v>
      </c>
      <c r="G17" s="19" t="str">
        <f>IFERROR(VLOOKUP(F17,'Personel Bilgi'!A:B,2,0),"- - - ")</f>
        <v>SEHER ERCAN</v>
      </c>
      <c r="H17" s="19" t="str">
        <f>IFERROR(VLOOKUP(F17,'Personel Bilgi'!A:D,3,0),"- - -")</f>
        <v>FERHAT DEMIR</v>
      </c>
      <c r="I17" s="19" t="str">
        <f>IFERROR(VLOOKUP(F17,'Personel Bilgi'!A:D,4,0),"- - -")</f>
        <v>ANKARA</v>
      </c>
      <c r="J17" s="19" t="str">
        <f>IFERROR(VLOOKUP(F17,'Personel Bilgi'!A:E,5,0),"- - -")</f>
        <v>MÜŞTERİ TEMSİLCİSİ</v>
      </c>
      <c r="K17" s="21" t="s">
        <v>57</v>
      </c>
      <c r="L17" s="21" t="s">
        <v>97</v>
      </c>
      <c r="M17" s="21" t="s">
        <v>734</v>
      </c>
      <c r="N17" s="36">
        <v>45994</v>
      </c>
      <c r="O17" s="36">
        <v>45999</v>
      </c>
      <c r="P17" s="19" t="s">
        <v>81</v>
      </c>
      <c r="Q17" s="37" t="s">
        <v>735</v>
      </c>
      <c r="R17" s="19" t="s">
        <v>86</v>
      </c>
      <c r="S17" s="21" t="s">
        <v>92</v>
      </c>
      <c r="T17" s="21" t="s">
        <v>95</v>
      </c>
      <c r="U17" s="37">
        <v>90</v>
      </c>
      <c r="V17" s="21" t="s">
        <v>736</v>
      </c>
      <c r="W17" s="35">
        <v>210162</v>
      </c>
      <c r="X17" s="19" t="str">
        <f>IFERROR(VLOOKUP(W17,'Personel Bilgi'!A:B,2,0),"---")</f>
        <v>FUNDA YAKISIR</v>
      </c>
      <c r="Y17" s="19" t="str">
        <f>IFERROR(VLOOKUP(W17,'Personel Bilgi'!A:C,3,0),"---")</f>
        <v>YAPRAK KARAKOC</v>
      </c>
      <c r="Z17" s="19" t="s">
        <v>95</v>
      </c>
      <c r="AA17" s="38" t="s">
        <v>617</v>
      </c>
      <c r="AB17" s="19" t="s">
        <v>57</v>
      </c>
      <c r="AC17" s="19" t="s">
        <v>97</v>
      </c>
      <c r="AD17" s="19" t="s">
        <v>734</v>
      </c>
    </row>
    <row r="18" spans="1:30" x14ac:dyDescent="0.25">
      <c r="A18" s="19" t="s">
        <v>11</v>
      </c>
      <c r="B18" s="24" t="s">
        <v>791</v>
      </c>
      <c r="C18" s="25">
        <v>5300869157</v>
      </c>
      <c r="D18" s="19" t="s">
        <v>14</v>
      </c>
      <c r="E18" s="26" t="str">
        <f>IFERROR(VLOOKUP(D18,Tanımlar!C:D,2,0),"- - -")</f>
        <v>DAĞITIM</v>
      </c>
      <c r="F18" s="26">
        <v>111197</v>
      </c>
      <c r="G18" s="19" t="str">
        <f>IFERROR(VLOOKUP(F18,'Personel Bilgi'!A:B,2,0),"- - - ")</f>
        <v>SONGUL YAGCI</v>
      </c>
      <c r="H18" s="19" t="str">
        <f>IFERROR(VLOOKUP(F18,'Personel Bilgi'!A:D,3,0),"- - -")</f>
        <v>SEDA SEBU</v>
      </c>
      <c r="I18" s="19" t="str">
        <f>IFERROR(VLOOKUP(F18,'Personel Bilgi'!A:D,4,0),"- - -")</f>
        <v>KARS</v>
      </c>
      <c r="J18" s="19" t="str">
        <f>IFERROR(VLOOKUP(F18,'Personel Bilgi'!A:E,5,0),"- - -")</f>
        <v>MÜŞTERİ TEMSİLCİSİ</v>
      </c>
      <c r="K18" s="21" t="s">
        <v>49</v>
      </c>
      <c r="L18" s="21" t="s">
        <v>96</v>
      </c>
      <c r="M18" s="21" t="s">
        <v>40</v>
      </c>
      <c r="N18" s="36">
        <v>45996</v>
      </c>
      <c r="O18" s="36">
        <v>45999</v>
      </c>
      <c r="P18" s="19" t="s">
        <v>81</v>
      </c>
      <c r="Q18" s="37" t="s">
        <v>735</v>
      </c>
      <c r="R18" s="19" t="s">
        <v>86</v>
      </c>
      <c r="S18" s="21" t="s">
        <v>92</v>
      </c>
      <c r="T18" s="21" t="s">
        <v>95</v>
      </c>
      <c r="U18" s="37"/>
      <c r="V18" s="21" t="s">
        <v>736</v>
      </c>
      <c r="W18" s="35">
        <v>500167</v>
      </c>
      <c r="X18" s="19" t="str">
        <f>IFERROR(VLOOKUP(W18,'Personel Bilgi'!A:B,2,0),"---")</f>
        <v>NEVA OZMEN</v>
      </c>
      <c r="Y18" s="19" t="str">
        <f>IFERROR(VLOOKUP(W18,'Personel Bilgi'!A:C,3,0),"---")</f>
        <v>KURSAD TERCANLI</v>
      </c>
      <c r="Z18" s="19" t="s">
        <v>95</v>
      </c>
      <c r="AA18" s="38" t="s">
        <v>617</v>
      </c>
      <c r="AB18" s="19" t="s">
        <v>49</v>
      </c>
      <c r="AC18" s="19" t="s">
        <v>96</v>
      </c>
      <c r="AD18" s="19" t="s">
        <v>40</v>
      </c>
    </row>
    <row r="19" spans="1:30" x14ac:dyDescent="0.25">
      <c r="A19" s="19" t="s">
        <v>11</v>
      </c>
      <c r="B19" s="24" t="s">
        <v>791</v>
      </c>
      <c r="C19" s="25">
        <v>5300869157</v>
      </c>
      <c r="D19" s="19" t="s">
        <v>14</v>
      </c>
      <c r="E19" s="26" t="str">
        <f>IFERROR(VLOOKUP(D19,Tanımlar!C:D,2,0),"- - -")</f>
        <v>DAĞITIM</v>
      </c>
      <c r="F19" s="26">
        <v>111199</v>
      </c>
      <c r="G19" s="19" t="str">
        <f>IFERROR(VLOOKUP(F19,'Personel Bilgi'!A:B,2,0),"- - - ")</f>
        <v>UMMUGULSUM BEKI</v>
      </c>
      <c r="H19" s="19" t="str">
        <f>IFERROR(VLOOKUP(F19,'Personel Bilgi'!A:D,3,0),"- - -")</f>
        <v>MUHAMMET AKSU</v>
      </c>
      <c r="I19" s="19" t="str">
        <f>IFERROR(VLOOKUP(F19,'Personel Bilgi'!A:D,4,0),"- - -")</f>
        <v>KARS</v>
      </c>
      <c r="J19" s="19" t="str">
        <f>IFERROR(VLOOKUP(F19,'Personel Bilgi'!A:E,5,0),"- - -")</f>
        <v>MÜŞTERİ TEMSİLCİSİ</v>
      </c>
      <c r="K19" s="21" t="s">
        <v>49</v>
      </c>
      <c r="L19" s="21" t="s">
        <v>96</v>
      </c>
      <c r="M19" s="21" t="s">
        <v>40</v>
      </c>
      <c r="N19" s="36">
        <v>45996</v>
      </c>
      <c r="O19" s="36">
        <v>45999</v>
      </c>
      <c r="P19" s="21" t="s">
        <v>1145</v>
      </c>
      <c r="Q19" s="37" t="s">
        <v>735</v>
      </c>
      <c r="R19" s="19" t="s">
        <v>86</v>
      </c>
      <c r="S19" s="21" t="s">
        <v>92</v>
      </c>
      <c r="T19" s="21" t="s">
        <v>94</v>
      </c>
      <c r="U19" s="37">
        <v>0</v>
      </c>
      <c r="V19" s="21" t="s">
        <v>736</v>
      </c>
      <c r="W19" s="35">
        <v>500167</v>
      </c>
      <c r="X19" s="19" t="str">
        <f>IFERROR(VLOOKUP(W19,'Personel Bilgi'!A:B,2,0),"---")</f>
        <v>NEVA OZMEN</v>
      </c>
      <c r="Y19" s="19" t="str">
        <f>IFERROR(VLOOKUP(W19,'Personel Bilgi'!A:C,3,0),"---")</f>
        <v>KURSAD TERCANLI</v>
      </c>
      <c r="Z19" s="19" t="s">
        <v>95</v>
      </c>
      <c r="AA19" s="38" t="s">
        <v>617</v>
      </c>
      <c r="AB19" s="19" t="s">
        <v>49</v>
      </c>
      <c r="AC19" s="19" t="s">
        <v>96</v>
      </c>
      <c r="AD19" s="19" t="s">
        <v>40</v>
      </c>
    </row>
    <row r="20" spans="1:30" x14ac:dyDescent="0.25">
      <c r="A20" s="19" t="s">
        <v>11</v>
      </c>
      <c r="B20" s="22" t="s">
        <v>793</v>
      </c>
      <c r="C20" s="25">
        <v>5530630004</v>
      </c>
      <c r="D20" s="19" t="s">
        <v>14</v>
      </c>
      <c r="E20" s="19" t="str">
        <f>IFERROR(VLOOKUP(D20,Tanımlar!C:D,2,0),"- - -")</f>
        <v>DAĞITIM</v>
      </c>
      <c r="F20" s="26">
        <v>600189</v>
      </c>
      <c r="G20" s="19" t="str">
        <f>IFERROR(VLOOKUP(F20,'Personel Bilgi'!A:B,2,0),"- - - ")</f>
        <v xml:space="preserve">MEHMET ALI SAVAN </v>
      </c>
      <c r="H20" s="19" t="str">
        <f>IFERROR(VLOOKUP(F20,'Personel Bilgi'!A:D,3,0),"- - -")</f>
        <v xml:space="preserve">MEHMET ALI SAVAN </v>
      </c>
      <c r="I20" s="19" t="str">
        <f>IFERROR(VLOOKUP(F20,'Personel Bilgi'!A:D,4,0),"- - -")</f>
        <v>ERZURUM</v>
      </c>
      <c r="J20" s="19" t="str">
        <f>IFERROR(VLOOKUP(F20,'Personel Bilgi'!A:E,5,0),"- - -")</f>
        <v>TAKIM LİDERİ</v>
      </c>
      <c r="K20" s="19" t="s">
        <v>49</v>
      </c>
      <c r="L20" s="21" t="s">
        <v>97</v>
      </c>
      <c r="M20" s="21" t="s">
        <v>22</v>
      </c>
      <c r="N20" s="36">
        <v>45998</v>
      </c>
      <c r="O20" s="36">
        <v>45999</v>
      </c>
      <c r="P20" s="19" t="s">
        <v>81</v>
      </c>
      <c r="Q20" s="37" t="s">
        <v>735</v>
      </c>
      <c r="R20" s="19" t="s">
        <v>86</v>
      </c>
      <c r="S20" s="21" t="s">
        <v>93</v>
      </c>
      <c r="T20" s="21" t="s">
        <v>95</v>
      </c>
      <c r="U20" s="37" t="s">
        <v>735</v>
      </c>
      <c r="V20" s="21" t="s">
        <v>736</v>
      </c>
      <c r="W20" s="35">
        <v>110471</v>
      </c>
      <c r="X20" s="35" t="str">
        <f>IFERROR(VLOOKUP(W20,'Personel Bilgi'!A:B,2,0),"---")</f>
        <v>TUGBA DEMIR</v>
      </c>
      <c r="Y20" s="35" t="str">
        <f>IFERROR(VLOOKUP(W20,'Personel Bilgi'!A:C,3,0),"---")</f>
        <v>ERCUMENT GUNESSU</v>
      </c>
      <c r="Z20" s="35" t="s">
        <v>95</v>
      </c>
      <c r="AA20" s="45" t="s">
        <v>617</v>
      </c>
      <c r="AB20" s="35" t="s">
        <v>49</v>
      </c>
      <c r="AC20" s="35" t="s">
        <v>97</v>
      </c>
      <c r="AD20" s="35" t="s">
        <v>22</v>
      </c>
    </row>
    <row r="21" spans="1:30" x14ac:dyDescent="0.25">
      <c r="A21" s="19" t="s">
        <v>11</v>
      </c>
      <c r="B21" s="23" t="s">
        <v>794</v>
      </c>
      <c r="C21" s="25">
        <v>5437876246</v>
      </c>
      <c r="D21" s="19" t="s">
        <v>14</v>
      </c>
      <c r="E21" s="19" t="str">
        <f>IFERROR(VLOOKUP(D21,Tanımlar!C:D,2,0),"- - -")</f>
        <v>DAĞITIM</v>
      </c>
      <c r="F21" s="26">
        <v>500132</v>
      </c>
      <c r="G21" s="19" t="str">
        <f>IFERROR(VLOOKUP(F21,'Personel Bilgi'!A:B,2,0),"- - - ")</f>
        <v>SONGUL BEKCI</v>
      </c>
      <c r="H21" s="19" t="str">
        <f>IFERROR(VLOOKUP(F21,'Personel Bilgi'!A:D,3,0),"- - -")</f>
        <v>TURGUT AKDAG</v>
      </c>
      <c r="I21" s="19" t="str">
        <f>IFERROR(VLOOKUP(F21,'Personel Bilgi'!A:D,4,0),"- - -")</f>
        <v>ERZURUM</v>
      </c>
      <c r="J21" s="19" t="str">
        <f>IFERROR(VLOOKUP(F21,'Personel Bilgi'!A:E,5,0),"- - -")</f>
        <v>MÜŞTERİ TEMSİLCİSİ</v>
      </c>
      <c r="K21" s="19" t="s">
        <v>64</v>
      </c>
      <c r="L21" s="21" t="s">
        <v>41</v>
      </c>
      <c r="M21" s="21" t="s">
        <v>44</v>
      </c>
      <c r="N21" s="36">
        <v>45997</v>
      </c>
      <c r="O21" s="36">
        <v>45999</v>
      </c>
      <c r="P21" s="19" t="s">
        <v>81</v>
      </c>
      <c r="Q21" s="37" t="s">
        <v>735</v>
      </c>
      <c r="R21" s="19" t="s">
        <v>86</v>
      </c>
      <c r="S21" s="21" t="s">
        <v>93</v>
      </c>
      <c r="T21" s="21" t="s">
        <v>95</v>
      </c>
      <c r="U21" s="37" t="s">
        <v>735</v>
      </c>
      <c r="V21" s="21" t="s">
        <v>736</v>
      </c>
      <c r="W21" s="35">
        <v>500131</v>
      </c>
      <c r="X21" s="35" t="str">
        <f>IFERROR(VLOOKUP(W21,'Personel Bilgi'!A:B,2,0),"---")</f>
        <v>SIBEL ATES</v>
      </c>
      <c r="Y21" s="35" t="str">
        <f>IFERROR(VLOOKUP(W21,'Personel Bilgi'!A:C,3,0),"---")</f>
        <v>TURGUT AKDAG</v>
      </c>
      <c r="Z21" s="35" t="s">
        <v>95</v>
      </c>
      <c r="AA21" s="45" t="s">
        <v>617</v>
      </c>
      <c r="AB21" s="35" t="s">
        <v>64</v>
      </c>
      <c r="AC21" s="35" t="s">
        <v>41</v>
      </c>
      <c r="AD21" s="35" t="s">
        <v>44</v>
      </c>
    </row>
    <row r="22" spans="1:30" x14ac:dyDescent="0.25">
      <c r="A22" s="19" t="s">
        <v>11</v>
      </c>
      <c r="B22" s="23" t="s">
        <v>794</v>
      </c>
      <c r="C22" s="25">
        <v>5437876246</v>
      </c>
      <c r="D22" s="19" t="s">
        <v>14</v>
      </c>
      <c r="E22" s="19" t="str">
        <f>IFERROR(VLOOKUP(D22,Tanımlar!C:D,2,0),"- - -")</f>
        <v>DAĞITIM</v>
      </c>
      <c r="F22" s="26">
        <v>500145</v>
      </c>
      <c r="G22" s="19" t="str">
        <f>IFERROR(VLOOKUP(F22,'Personel Bilgi'!A:B,2,0),"- - - ")</f>
        <v>BELMA ONAL</v>
      </c>
      <c r="H22" s="19" t="str">
        <f>IFERROR(VLOOKUP(F22,'Personel Bilgi'!A:D,3,0),"- - -")</f>
        <v>KURSAD TERCANLI</v>
      </c>
      <c r="I22" s="19" t="str">
        <f>IFERROR(VLOOKUP(F22,'Personel Bilgi'!A:D,4,0),"- - -")</f>
        <v>ERZURUM</v>
      </c>
      <c r="J22" s="19" t="str">
        <f>IFERROR(VLOOKUP(F22,'Personel Bilgi'!A:E,5,0),"- - -")</f>
        <v>MÜŞTERİ TEMSİLCİSİ</v>
      </c>
      <c r="K22" s="19" t="s">
        <v>64</v>
      </c>
      <c r="L22" s="21" t="s">
        <v>41</v>
      </c>
      <c r="M22" s="21" t="s">
        <v>44</v>
      </c>
      <c r="N22" s="36">
        <v>45997</v>
      </c>
      <c r="O22" s="36">
        <v>45999</v>
      </c>
      <c r="P22" s="19" t="s">
        <v>81</v>
      </c>
      <c r="Q22" s="37" t="s">
        <v>735</v>
      </c>
      <c r="R22" s="19" t="s">
        <v>86</v>
      </c>
      <c r="S22" s="21" t="s">
        <v>93</v>
      </c>
      <c r="T22" s="21" t="s">
        <v>95</v>
      </c>
      <c r="U22" s="37" t="s">
        <v>735</v>
      </c>
      <c r="V22" s="21" t="s">
        <v>736</v>
      </c>
      <c r="W22" s="35">
        <v>500131</v>
      </c>
      <c r="X22" s="35" t="str">
        <f>IFERROR(VLOOKUP(W22,'Personel Bilgi'!A:B,2,0),"---")</f>
        <v>SIBEL ATES</v>
      </c>
      <c r="Y22" s="35" t="str">
        <f>IFERROR(VLOOKUP(W22,'Personel Bilgi'!A:C,3,0),"---")</f>
        <v>TURGUT AKDAG</v>
      </c>
      <c r="Z22" s="35" t="s">
        <v>95</v>
      </c>
      <c r="AA22" s="45" t="s">
        <v>617</v>
      </c>
      <c r="AB22" s="35" t="s">
        <v>64</v>
      </c>
      <c r="AC22" s="35" t="s">
        <v>41</v>
      </c>
      <c r="AD22" s="35" t="s">
        <v>44</v>
      </c>
    </row>
    <row r="23" spans="1:30" x14ac:dyDescent="0.25">
      <c r="A23" s="19" t="s">
        <v>11</v>
      </c>
      <c r="B23" s="20" t="s">
        <v>794</v>
      </c>
      <c r="C23" s="25">
        <v>5437876246</v>
      </c>
      <c r="D23" s="19" t="s">
        <v>14</v>
      </c>
      <c r="E23" s="19" t="str">
        <f>IFERROR(VLOOKUP(D23,Tanımlar!C:D,2,0),"- - -")</f>
        <v>DAĞITIM</v>
      </c>
      <c r="F23" s="26">
        <v>500186</v>
      </c>
      <c r="G23" s="19" t="str">
        <f>IFERROR(VLOOKUP(F23,'Personel Bilgi'!A:B,2,0),"- - - ")</f>
        <v>MUHAMMET TALHA ATAY</v>
      </c>
      <c r="H23" s="19" t="str">
        <f>IFERROR(VLOOKUP(F23,'Personel Bilgi'!A:D,3,0),"- - -")</f>
        <v>TURGUT AKDAG</v>
      </c>
      <c r="I23" s="19" t="str">
        <f>IFERROR(VLOOKUP(F23,'Personel Bilgi'!A:D,4,0),"- - -")</f>
        <v>ERZURUM</v>
      </c>
      <c r="J23" s="19" t="str">
        <f>IFERROR(VLOOKUP(F23,'Personel Bilgi'!A:E,5,0),"- - -")</f>
        <v>MÜŞTERİ TEMSİLCİSİ</v>
      </c>
      <c r="K23" s="19" t="s">
        <v>49</v>
      </c>
      <c r="L23" s="21" t="s">
        <v>41</v>
      </c>
      <c r="M23" s="21" t="s">
        <v>44</v>
      </c>
      <c r="N23" s="36">
        <v>45997</v>
      </c>
      <c r="O23" s="36">
        <v>45999</v>
      </c>
      <c r="P23" s="19" t="s">
        <v>81</v>
      </c>
      <c r="Q23" s="37" t="s">
        <v>735</v>
      </c>
      <c r="R23" s="19" t="s">
        <v>86</v>
      </c>
      <c r="S23" s="21" t="s">
        <v>93</v>
      </c>
      <c r="T23" s="21" t="s">
        <v>95</v>
      </c>
      <c r="U23" s="37" t="s">
        <v>735</v>
      </c>
      <c r="V23" s="39" t="s">
        <v>736</v>
      </c>
      <c r="W23" s="35">
        <v>500131</v>
      </c>
      <c r="X23" s="35" t="str">
        <f>IFERROR(VLOOKUP(W23,'Personel Bilgi'!A:B,2,0),"---")</f>
        <v>SIBEL ATES</v>
      </c>
      <c r="Y23" s="35" t="str">
        <f>IFERROR(VLOOKUP(W23,'Personel Bilgi'!A:C,3,0),"---")</f>
        <v>TURGUT AKDAG</v>
      </c>
      <c r="Z23" s="35" t="s">
        <v>95</v>
      </c>
      <c r="AA23" s="45" t="s">
        <v>617</v>
      </c>
      <c r="AB23" s="35" t="s">
        <v>49</v>
      </c>
      <c r="AC23" s="35" t="s">
        <v>41</v>
      </c>
      <c r="AD23" s="35" t="s">
        <v>44</v>
      </c>
    </row>
    <row r="24" spans="1:30" x14ac:dyDescent="0.25">
      <c r="A24" s="19" t="s">
        <v>11</v>
      </c>
      <c r="B24" s="22" t="s">
        <v>796</v>
      </c>
      <c r="C24" s="25">
        <v>5451348223</v>
      </c>
      <c r="D24" s="19" t="s">
        <v>14</v>
      </c>
      <c r="E24" s="19" t="str">
        <f>IFERROR(VLOOKUP(D24,Tanımlar!C:D,2,0),"- - -")</f>
        <v>DAĞITIM</v>
      </c>
      <c r="F24" s="26">
        <v>600611</v>
      </c>
      <c r="G24" s="19" t="str">
        <f>IFERROR(VLOOKUP(F24,'Personel Bilgi'!A:B,2,0),"- - - ")</f>
        <v>ZEYNEP KOC</v>
      </c>
      <c r="H24" s="19" t="str">
        <f>IFERROR(VLOOKUP(F24,'Personel Bilgi'!A:D,3,0),"- - -")</f>
        <v>FERHAT DEMIR</v>
      </c>
      <c r="I24" s="19" t="str">
        <f>IFERROR(VLOOKUP(F24,'Personel Bilgi'!A:D,4,0),"- - -")</f>
        <v>ANKARA</v>
      </c>
      <c r="J24" s="19" t="str">
        <f>IFERROR(VLOOKUP(F24,'Personel Bilgi'!A:E,5,0),"- - -")</f>
        <v>MÜŞTERİ TEMSİLCİSİ</v>
      </c>
      <c r="K24" s="19" t="s">
        <v>50</v>
      </c>
      <c r="L24" s="21" t="s">
        <v>41</v>
      </c>
      <c r="M24" s="21" t="s">
        <v>42</v>
      </c>
      <c r="N24" s="36">
        <v>45997</v>
      </c>
      <c r="O24" s="36">
        <v>45999</v>
      </c>
      <c r="P24" s="19" t="s">
        <v>81</v>
      </c>
      <c r="Q24" s="37" t="s">
        <v>735</v>
      </c>
      <c r="R24" s="19" t="s">
        <v>86</v>
      </c>
      <c r="S24" s="21" t="s">
        <v>92</v>
      </c>
      <c r="T24" s="21" t="s">
        <v>95</v>
      </c>
      <c r="U24" s="37">
        <v>90</v>
      </c>
      <c r="V24" s="39" t="s">
        <v>736</v>
      </c>
      <c r="W24" s="35">
        <v>500131</v>
      </c>
      <c r="X24" s="35" t="str">
        <f>IFERROR(VLOOKUP(W24,'Personel Bilgi'!A:B,2,0),"---")</f>
        <v>SIBEL ATES</v>
      </c>
      <c r="Y24" s="35" t="str">
        <f>IFERROR(VLOOKUP(W24,'Personel Bilgi'!A:C,3,0),"---")</f>
        <v>TURGUT AKDAG</v>
      </c>
      <c r="Z24" s="35" t="s">
        <v>95</v>
      </c>
      <c r="AA24" s="45" t="s">
        <v>617</v>
      </c>
      <c r="AB24" s="35" t="s">
        <v>50</v>
      </c>
      <c r="AC24" s="35" t="s">
        <v>41</v>
      </c>
      <c r="AD24" s="35" t="s">
        <v>42</v>
      </c>
    </row>
    <row r="25" spans="1:30" x14ac:dyDescent="0.25">
      <c r="A25" s="19" t="s">
        <v>11</v>
      </c>
      <c r="B25" s="22" t="s">
        <v>797</v>
      </c>
      <c r="C25" s="25">
        <v>5323228156</v>
      </c>
      <c r="D25" s="19" t="s">
        <v>14</v>
      </c>
      <c r="E25" s="19" t="str">
        <f>IFERROR(VLOOKUP(D25,Tanımlar!C:D,2,0),"- - -")</f>
        <v>DAĞITIM</v>
      </c>
      <c r="F25" s="26">
        <v>500071</v>
      </c>
      <c r="G25" s="19" t="str">
        <f>IFERROR(VLOOKUP(F25,'Personel Bilgi'!A:B,2,0),"- - - ")</f>
        <v>IREM GOKÇE KATRANLI</v>
      </c>
      <c r="H25" s="19" t="str">
        <f>IFERROR(VLOOKUP(F25,'Personel Bilgi'!A:D,3,0),"- - -")</f>
        <v>SALTUK BUGRAHAN TAYMUS</v>
      </c>
      <c r="I25" s="19" t="str">
        <f>IFERROR(VLOOKUP(F25,'Personel Bilgi'!A:D,4,0),"- - -")</f>
        <v>ERZURUM</v>
      </c>
      <c r="J25" s="19" t="str">
        <f>IFERROR(VLOOKUP(F25,'Personel Bilgi'!A:E,5,0),"- - -")</f>
        <v>MÜŞTERİ TEMSİLCİSİ</v>
      </c>
      <c r="K25" s="19" t="s">
        <v>64</v>
      </c>
      <c r="L25" s="21" t="s">
        <v>41</v>
      </c>
      <c r="M25" s="21" t="s">
        <v>44</v>
      </c>
      <c r="N25" s="36">
        <v>45997</v>
      </c>
      <c r="O25" s="36">
        <v>45999</v>
      </c>
      <c r="P25" s="19" t="s">
        <v>81</v>
      </c>
      <c r="Q25" s="37" t="s">
        <v>735</v>
      </c>
      <c r="R25" s="19" t="s">
        <v>86</v>
      </c>
      <c r="S25" s="21" t="s">
        <v>93</v>
      </c>
      <c r="T25" s="21" t="s">
        <v>95</v>
      </c>
      <c r="U25" s="21" t="s">
        <v>735</v>
      </c>
      <c r="V25" s="39" t="s">
        <v>736</v>
      </c>
      <c r="W25" s="35">
        <v>111232</v>
      </c>
      <c r="X25" s="35" t="str">
        <f>IFERROR(VLOOKUP(W25,'Personel Bilgi'!A:B,2,0),"---")</f>
        <v>HASAN FURKAN ASLAN</v>
      </c>
      <c r="Y25" s="35" t="str">
        <f>IFERROR(VLOOKUP(W25,'Personel Bilgi'!A:C,3,0),"---")</f>
        <v>SAFAK TOPTAS</v>
      </c>
      <c r="Z25" s="35" t="s">
        <v>95</v>
      </c>
      <c r="AA25" s="45" t="s">
        <v>617</v>
      </c>
      <c r="AB25" s="35" t="s">
        <v>64</v>
      </c>
      <c r="AC25" s="35" t="s">
        <v>41</v>
      </c>
      <c r="AD25" s="35" t="s">
        <v>44</v>
      </c>
    </row>
    <row r="26" spans="1:30" x14ac:dyDescent="0.25">
      <c r="A26" s="19" t="s">
        <v>11</v>
      </c>
      <c r="B26" s="22" t="s">
        <v>798</v>
      </c>
      <c r="C26" s="19">
        <v>5053843964</v>
      </c>
      <c r="D26" s="19" t="s">
        <v>14</v>
      </c>
      <c r="E26" s="19" t="str">
        <f>IFERROR(VLOOKUP(D26,Tanımlar!C:D,2,0),"- - -")</f>
        <v>DAĞITIM</v>
      </c>
      <c r="F26" s="19">
        <v>500049</v>
      </c>
      <c r="G26" s="19" t="str">
        <f>IFERROR(VLOOKUP(F26,'Personel Bilgi'!A:B,2,0),"- - - ")</f>
        <v>FERHAT ATICI</v>
      </c>
      <c r="H26" s="19" t="str">
        <f>IFERROR(VLOOKUP(F26,'Personel Bilgi'!A:D,3,0),"- - -")</f>
        <v>MEHMET ALI SAVAN</v>
      </c>
      <c r="I26" s="19" t="str">
        <f>IFERROR(VLOOKUP(F26,'Personel Bilgi'!A:D,4,0),"- - -")</f>
        <v>ERZURUM</v>
      </c>
      <c r="J26" s="19" t="str">
        <f>IFERROR(VLOOKUP(F26,'Personel Bilgi'!A:E,5,0),"- - -")</f>
        <v>MÜŞTERİ TEMSİLCİSİ</v>
      </c>
      <c r="K26" s="19" t="s">
        <v>50</v>
      </c>
      <c r="L26" s="21" t="s">
        <v>47</v>
      </c>
      <c r="M26" s="21" t="s">
        <v>603</v>
      </c>
      <c r="N26" s="36">
        <v>45998</v>
      </c>
      <c r="O26" s="36">
        <v>45999</v>
      </c>
      <c r="P26" s="19" t="s">
        <v>75</v>
      </c>
      <c r="Q26" s="37" t="s">
        <v>735</v>
      </c>
      <c r="R26" s="19" t="s">
        <v>86</v>
      </c>
      <c r="S26" s="21" t="s">
        <v>92</v>
      </c>
      <c r="T26" s="21" t="s">
        <v>95</v>
      </c>
      <c r="U26" s="21">
        <v>83</v>
      </c>
      <c r="V26" s="21" t="s">
        <v>736</v>
      </c>
      <c r="W26" s="19">
        <v>500049</v>
      </c>
      <c r="X26" s="35" t="str">
        <f>IFERROR(VLOOKUP(W26,'Personel Bilgi'!A:B,2,0),"---")</f>
        <v>FERHAT ATICI</v>
      </c>
      <c r="Y26" s="35" t="str">
        <f>IFERROR(VLOOKUP(W26,'Personel Bilgi'!A:C,3,0),"---")</f>
        <v>MEHMET ALI SAVAN</v>
      </c>
      <c r="Z26" s="19" t="s">
        <v>94</v>
      </c>
      <c r="AA26" s="19" t="s">
        <v>616</v>
      </c>
      <c r="AB26" s="19" t="s">
        <v>50</v>
      </c>
      <c r="AC26" s="19" t="s">
        <v>47</v>
      </c>
      <c r="AD26" s="19" t="s">
        <v>603</v>
      </c>
    </row>
    <row r="27" spans="1:30" x14ac:dyDescent="0.25">
      <c r="A27" s="19" t="s">
        <v>11</v>
      </c>
      <c r="B27" s="22" t="s">
        <v>799</v>
      </c>
      <c r="C27" s="19">
        <v>5459063289</v>
      </c>
      <c r="D27" s="19" t="s">
        <v>14</v>
      </c>
      <c r="E27" s="19" t="str">
        <f>IFERROR(VLOOKUP(D27,Tanımlar!C:D,2,0),"- - -")</f>
        <v>DAĞITIM</v>
      </c>
      <c r="F27" s="19">
        <v>111241</v>
      </c>
      <c r="G27" s="19" t="str">
        <f>IFERROR(VLOOKUP(F27,'Personel Bilgi'!A:B,2,0),"- - - ")</f>
        <v>GURKAN KILDIS</v>
      </c>
      <c r="H27" s="19" t="str">
        <f>IFERROR(VLOOKUP(F27,'Personel Bilgi'!A:D,3,0),"- - -")</f>
        <v>YAPRAK KARAKOC</v>
      </c>
      <c r="I27" s="19" t="str">
        <f>IFERROR(VLOOKUP(F27,'Personel Bilgi'!A:D,4,0),"- - -")</f>
        <v>KARS</v>
      </c>
      <c r="J27" s="19" t="str">
        <f>IFERROR(VLOOKUP(F27,'Personel Bilgi'!A:E,5,0),"- - -")</f>
        <v>MÜŞTERİ TEMSİLCİSİ</v>
      </c>
      <c r="K27" s="19" t="s">
        <v>64</v>
      </c>
      <c r="L27" s="21" t="s">
        <v>41</v>
      </c>
      <c r="M27" s="21" t="s">
        <v>44</v>
      </c>
      <c r="N27" s="36">
        <v>45998</v>
      </c>
      <c r="O27" s="36">
        <v>45999</v>
      </c>
      <c r="P27" s="19" t="s">
        <v>81</v>
      </c>
      <c r="Q27" s="37" t="s">
        <v>735</v>
      </c>
      <c r="R27" s="19" t="s">
        <v>86</v>
      </c>
      <c r="S27" s="21" t="s">
        <v>93</v>
      </c>
      <c r="T27" s="21" t="s">
        <v>95</v>
      </c>
      <c r="U27" s="21" t="s">
        <v>735</v>
      </c>
      <c r="V27" s="21" t="s">
        <v>736</v>
      </c>
      <c r="W27" s="35">
        <v>111243</v>
      </c>
      <c r="X27" s="35" t="str">
        <f>IFERROR(VLOOKUP(W27,'Personel Bilgi'!A:B,2,0),"---")</f>
        <v>FATMA SENA SEFEROGLU</v>
      </c>
      <c r="Y27" s="35" t="str">
        <f>IFERROR(VLOOKUP(W27,'Personel Bilgi'!A:C,3,0),"---")</f>
        <v>SAFAK TOPTAS</v>
      </c>
      <c r="Z27" s="35" t="s">
        <v>95</v>
      </c>
      <c r="AA27" s="35" t="s">
        <v>617</v>
      </c>
      <c r="AB27" s="35" t="s">
        <v>64</v>
      </c>
      <c r="AC27" s="35" t="s">
        <v>41</v>
      </c>
      <c r="AD27" s="35" t="s">
        <v>44</v>
      </c>
    </row>
    <row r="28" spans="1:30" x14ac:dyDescent="0.25">
      <c r="A28" s="19" t="s">
        <v>11</v>
      </c>
      <c r="B28" s="22" t="s">
        <v>800</v>
      </c>
      <c r="C28" s="19">
        <v>5348736898</v>
      </c>
      <c r="D28" s="19" t="s">
        <v>14</v>
      </c>
      <c r="E28" s="19" t="str">
        <f>IFERROR(VLOOKUP(D28,Tanımlar!C:D,2,0),"- - -")</f>
        <v>DAĞITIM</v>
      </c>
      <c r="F28" s="19">
        <v>110742</v>
      </c>
      <c r="G28" s="19" t="str">
        <f>IFERROR(VLOOKUP(F28,'Personel Bilgi'!A:B,2,0),"- - - ")</f>
        <v>HANDE KOC</v>
      </c>
      <c r="H28" s="19" t="str">
        <f>IFERROR(VLOOKUP(F28,'Personel Bilgi'!A:D,3,0),"- - -")</f>
        <v>YAPRAK KARAKOC</v>
      </c>
      <c r="I28" s="19" t="str">
        <f>IFERROR(VLOOKUP(F28,'Personel Bilgi'!A:D,4,0),"- - -")</f>
        <v>KARS</v>
      </c>
      <c r="J28" s="19" t="str">
        <f>IFERROR(VLOOKUP(F28,'Personel Bilgi'!A:E,5,0),"- - -")</f>
        <v>MÜŞTERİ TEMSİLCİSİ</v>
      </c>
      <c r="K28" s="19" t="s">
        <v>49</v>
      </c>
      <c r="L28" s="21" t="s">
        <v>96</v>
      </c>
      <c r="M28" s="21" t="s">
        <v>40</v>
      </c>
      <c r="N28" s="36">
        <v>45998</v>
      </c>
      <c r="O28" s="36">
        <v>45999</v>
      </c>
      <c r="P28" s="19" t="s">
        <v>81</v>
      </c>
      <c r="Q28" s="37" t="s">
        <v>735</v>
      </c>
      <c r="R28" s="19" t="s">
        <v>86</v>
      </c>
      <c r="S28" s="21" t="s">
        <v>92</v>
      </c>
      <c r="T28" s="21" t="s">
        <v>94</v>
      </c>
      <c r="U28" s="21">
        <v>0</v>
      </c>
      <c r="V28" s="21" t="s">
        <v>736</v>
      </c>
      <c r="W28" s="35">
        <v>500048</v>
      </c>
      <c r="X28" s="35" t="str">
        <f>IFERROR(VLOOKUP(W28,'Personel Bilgi'!A:B,2,0),"---")</f>
        <v>FATMA NUR TASBASI</v>
      </c>
      <c r="Y28" s="35" t="str">
        <f>IFERROR(VLOOKUP(W28,'Personel Bilgi'!A:C,3,0),"---")</f>
        <v>MEHMET ALI SAVAN</v>
      </c>
      <c r="Z28" s="35" t="s">
        <v>95</v>
      </c>
      <c r="AA28" s="35" t="s">
        <v>617</v>
      </c>
      <c r="AB28" s="35" t="s">
        <v>49</v>
      </c>
      <c r="AC28" s="35" t="s">
        <v>96</v>
      </c>
      <c r="AD28" s="35" t="s">
        <v>40</v>
      </c>
    </row>
    <row r="29" spans="1:30" x14ac:dyDescent="0.25">
      <c r="A29" s="19" t="s">
        <v>11</v>
      </c>
      <c r="B29" s="20" t="s">
        <v>801</v>
      </c>
      <c r="C29" s="19">
        <v>5331525050</v>
      </c>
      <c r="D29" s="19" t="s">
        <v>14</v>
      </c>
      <c r="E29" s="19" t="str">
        <f>IFERROR(VLOOKUP(D29,Tanımlar!C:D,2,0),"- - -")</f>
        <v>DAĞITIM</v>
      </c>
      <c r="F29" s="19">
        <v>600617</v>
      </c>
      <c r="G29" s="19" t="str">
        <f>IFERROR(VLOOKUP(F29,'Personel Bilgi'!A:B,2,0),"- - - ")</f>
        <v>ELMAS  AKSOY</v>
      </c>
      <c r="H29" s="19" t="str">
        <f>IFERROR(VLOOKUP(F29,'Personel Bilgi'!A:D,3,0),"- - -")</f>
        <v xml:space="preserve">İNAN UMUT ÖRNEK </v>
      </c>
      <c r="I29" s="19" t="str">
        <f>IFERROR(VLOOKUP(F29,'Personel Bilgi'!A:D,4,0),"- - -")</f>
        <v>ANKARA</v>
      </c>
      <c r="J29" s="19" t="str">
        <f>IFERROR(VLOOKUP(F29,'Personel Bilgi'!A:E,5,0),"- - -")</f>
        <v>MÜŞTERİ TEMSİLCİSİ</v>
      </c>
      <c r="K29" s="19" t="s">
        <v>49</v>
      </c>
      <c r="L29" s="21" t="s">
        <v>96</v>
      </c>
      <c r="M29" s="21" t="s">
        <v>40</v>
      </c>
      <c r="N29" s="36">
        <v>45998</v>
      </c>
      <c r="O29" s="36">
        <v>45999</v>
      </c>
      <c r="P29" s="19" t="s">
        <v>81</v>
      </c>
      <c r="Q29" s="37" t="s">
        <v>735</v>
      </c>
      <c r="R29" s="19" t="s">
        <v>86</v>
      </c>
      <c r="S29" s="21" t="s">
        <v>92</v>
      </c>
      <c r="T29" s="21" t="s">
        <v>95</v>
      </c>
      <c r="U29" s="21">
        <v>100</v>
      </c>
      <c r="V29" s="21" t="s">
        <v>736</v>
      </c>
      <c r="W29" s="35">
        <v>111123</v>
      </c>
      <c r="X29" s="35" t="str">
        <f>IFERROR(VLOOKUP(W29,'Personel Bilgi'!A:B,2,0),"---")</f>
        <v>OZNUR KIRTAY</v>
      </c>
      <c r="Y29" s="35" t="str">
        <f>IFERROR(VLOOKUP(W29,'Personel Bilgi'!A:C,3,0),"---")</f>
        <v>SEDA SEBU</v>
      </c>
      <c r="Z29" s="35" t="s">
        <v>95</v>
      </c>
      <c r="AA29" s="35" t="s">
        <v>617</v>
      </c>
      <c r="AB29" s="35" t="s">
        <v>49</v>
      </c>
      <c r="AC29" s="35" t="s">
        <v>96</v>
      </c>
      <c r="AD29" s="35" t="s">
        <v>40</v>
      </c>
    </row>
    <row r="30" spans="1:30" x14ac:dyDescent="0.25">
      <c r="A30" s="19" t="s">
        <v>11</v>
      </c>
      <c r="B30" s="20" t="s">
        <v>801</v>
      </c>
      <c r="C30" s="19">
        <v>5331525050</v>
      </c>
      <c r="D30" s="19" t="s">
        <v>14</v>
      </c>
      <c r="E30" s="19" t="str">
        <f>IFERROR(VLOOKUP(D30,Tanımlar!C:D,2,0),"- - -")</f>
        <v>DAĞITIM</v>
      </c>
      <c r="F30" s="19">
        <v>600524</v>
      </c>
      <c r="G30" s="19" t="str">
        <f>IFERROR(VLOOKUP(F30,'Personel Bilgi'!A:B,2,0),"- - - ")</f>
        <v>MELIKE NAZIK SAHIN</v>
      </c>
      <c r="H30" s="19" t="str">
        <f>IFERROR(VLOOKUP(F30,'Personel Bilgi'!A:D,3,0),"- - -")</f>
        <v>FERHAT DEMIR</v>
      </c>
      <c r="I30" s="19" t="str">
        <f>IFERROR(VLOOKUP(F30,'Personel Bilgi'!A:D,4,0),"- - -")</f>
        <v>ANKARA</v>
      </c>
      <c r="J30" s="19" t="str">
        <f>IFERROR(VLOOKUP(F30,'Personel Bilgi'!A:E,5,0),"- - -")</f>
        <v>TAKIM LİDERİ</v>
      </c>
      <c r="K30" s="19" t="s">
        <v>49</v>
      </c>
      <c r="L30" s="21" t="s">
        <v>96</v>
      </c>
      <c r="M30" s="21" t="s">
        <v>40</v>
      </c>
      <c r="N30" s="36">
        <v>45998</v>
      </c>
      <c r="O30" s="36">
        <v>45999</v>
      </c>
      <c r="P30" s="21" t="s">
        <v>1145</v>
      </c>
      <c r="Q30" s="37" t="s">
        <v>735</v>
      </c>
      <c r="R30" s="19" t="s">
        <v>86</v>
      </c>
      <c r="S30" s="21" t="s">
        <v>92</v>
      </c>
      <c r="T30" s="21" t="s">
        <v>94</v>
      </c>
      <c r="U30" s="21">
        <v>0</v>
      </c>
      <c r="V30" s="21" t="s">
        <v>736</v>
      </c>
      <c r="W30" s="35">
        <v>111123</v>
      </c>
      <c r="X30" s="35" t="str">
        <f>IFERROR(VLOOKUP(W30,'Personel Bilgi'!A:B,2,0),"---")</f>
        <v>OZNUR KIRTAY</v>
      </c>
      <c r="Y30" s="35" t="str">
        <f>IFERROR(VLOOKUP(W30,'Personel Bilgi'!A:C,3,0),"---")</f>
        <v>SEDA SEBU</v>
      </c>
      <c r="Z30" s="35" t="s">
        <v>95</v>
      </c>
      <c r="AA30" s="35" t="s">
        <v>617</v>
      </c>
      <c r="AB30" s="35" t="s">
        <v>49</v>
      </c>
      <c r="AC30" s="35" t="s">
        <v>96</v>
      </c>
      <c r="AD30" s="35" t="s">
        <v>40</v>
      </c>
    </row>
    <row r="31" spans="1:30" x14ac:dyDescent="0.25">
      <c r="A31" s="19" t="s">
        <v>11</v>
      </c>
      <c r="B31" s="20" t="s">
        <v>801</v>
      </c>
      <c r="C31" s="19">
        <v>5331525050</v>
      </c>
      <c r="D31" s="19" t="s">
        <v>14</v>
      </c>
      <c r="E31" s="19" t="str">
        <f>IFERROR(VLOOKUP(D31,Tanımlar!C:D,2,0),"- - -")</f>
        <v>DAĞITIM</v>
      </c>
      <c r="F31" s="19">
        <v>210169</v>
      </c>
      <c r="G31" s="19" t="str">
        <f>IFERROR(VLOOKUP(F31,'Personel Bilgi'!A:B,2,0),"- - - ")</f>
        <v>NAIM UREYIL</v>
      </c>
      <c r="H31" s="19" t="str">
        <f>IFERROR(VLOOKUP(F31,'Personel Bilgi'!A:D,3,0),"- - -")</f>
        <v>SAFAK TOPTAS</v>
      </c>
      <c r="I31" s="19" t="str">
        <f>IFERROR(VLOOKUP(F31,'Personel Bilgi'!A:D,4,0),"- - -")</f>
        <v>KARS</v>
      </c>
      <c r="J31" s="19" t="str">
        <f>IFERROR(VLOOKUP(F31,'Personel Bilgi'!A:E,5,0),"- - -")</f>
        <v>MÜŞTERİ TEMSİLCİSİ</v>
      </c>
      <c r="K31" s="19" t="s">
        <v>49</v>
      </c>
      <c r="L31" s="21" t="s">
        <v>96</v>
      </c>
      <c r="M31" s="21" t="s">
        <v>40</v>
      </c>
      <c r="N31" s="36">
        <v>45998</v>
      </c>
      <c r="O31" s="36">
        <v>45999</v>
      </c>
      <c r="P31" s="21" t="s">
        <v>81</v>
      </c>
      <c r="Q31" s="37" t="s">
        <v>735</v>
      </c>
      <c r="R31" s="19" t="s">
        <v>86</v>
      </c>
      <c r="S31" s="21" t="s">
        <v>92</v>
      </c>
      <c r="T31" s="21" t="s">
        <v>94</v>
      </c>
      <c r="U31" s="21">
        <v>0</v>
      </c>
      <c r="V31" s="21" t="s">
        <v>736</v>
      </c>
      <c r="W31" s="35">
        <v>111123</v>
      </c>
      <c r="X31" s="35" t="str">
        <f>IFERROR(VLOOKUP(W31,'Personel Bilgi'!A:B,2,0),"---")</f>
        <v>OZNUR KIRTAY</v>
      </c>
      <c r="Y31" s="35" t="str">
        <f>IFERROR(VLOOKUP(W31,'Personel Bilgi'!A:C,3,0),"---")</f>
        <v>SEDA SEBU</v>
      </c>
      <c r="Z31" s="35" t="s">
        <v>95</v>
      </c>
      <c r="AA31" s="35" t="s">
        <v>617</v>
      </c>
      <c r="AB31" s="35" t="s">
        <v>49</v>
      </c>
      <c r="AC31" s="35" t="s">
        <v>96</v>
      </c>
      <c r="AD31" s="35" t="s">
        <v>40</v>
      </c>
    </row>
    <row r="32" spans="1:30" x14ac:dyDescent="0.25">
      <c r="A32" s="19" t="s">
        <v>11</v>
      </c>
      <c r="B32" s="20" t="s">
        <v>801</v>
      </c>
      <c r="C32" s="19">
        <v>5331525050</v>
      </c>
      <c r="D32" s="19" t="s">
        <v>14</v>
      </c>
      <c r="E32" s="19" t="str">
        <f>IFERROR(VLOOKUP(D32,Tanımlar!C:D,2,0),"- - -")</f>
        <v>DAĞITIM</v>
      </c>
      <c r="F32" s="19">
        <v>210373</v>
      </c>
      <c r="G32" s="19" t="str">
        <f>IFERROR(VLOOKUP(F32,'Personel Bilgi'!A:B,2,0),"- - - ")</f>
        <v>MEHTAP KIRTAY</v>
      </c>
      <c r="H32" s="19" t="str">
        <f>IFERROR(VLOOKUP(F32,'Personel Bilgi'!A:D,3,0),"- - -")</f>
        <v>MUSTAFA OZAYAG</v>
      </c>
      <c r="I32" s="19" t="str">
        <f>IFERROR(VLOOKUP(F32,'Personel Bilgi'!A:D,4,0),"- - -")</f>
        <v>KARS</v>
      </c>
      <c r="J32" s="19" t="str">
        <f>IFERROR(VLOOKUP(F32,'Personel Bilgi'!A:E,5,0),"- - -")</f>
        <v>MÜŞTERİ TEMSİLCİSİ</v>
      </c>
      <c r="K32" s="19" t="s">
        <v>49</v>
      </c>
      <c r="L32" s="21" t="s">
        <v>96</v>
      </c>
      <c r="M32" s="21" t="s">
        <v>40</v>
      </c>
      <c r="N32" s="36">
        <v>45998</v>
      </c>
      <c r="O32" s="36">
        <v>45999</v>
      </c>
      <c r="P32" s="19" t="s">
        <v>81</v>
      </c>
      <c r="Q32" s="37" t="s">
        <v>735</v>
      </c>
      <c r="R32" s="19" t="s">
        <v>86</v>
      </c>
      <c r="S32" s="21" t="s">
        <v>92</v>
      </c>
      <c r="T32" s="21" t="s">
        <v>95</v>
      </c>
      <c r="U32" s="21">
        <v>100</v>
      </c>
      <c r="V32" s="21" t="s">
        <v>736</v>
      </c>
      <c r="W32" s="35">
        <v>111123</v>
      </c>
      <c r="X32" s="35" t="str">
        <f>IFERROR(VLOOKUP(W32,'Personel Bilgi'!A:B,2,0),"---")</f>
        <v>OZNUR KIRTAY</v>
      </c>
      <c r="Y32" s="35" t="str">
        <f>IFERROR(VLOOKUP(W32,'Personel Bilgi'!A:C,3,0),"---")</f>
        <v>SEDA SEBU</v>
      </c>
      <c r="Z32" s="35" t="s">
        <v>95</v>
      </c>
      <c r="AA32" s="35" t="s">
        <v>617</v>
      </c>
      <c r="AB32" s="35" t="s">
        <v>49</v>
      </c>
      <c r="AC32" s="35" t="s">
        <v>96</v>
      </c>
      <c r="AD32" s="35" t="s">
        <v>40</v>
      </c>
    </row>
    <row r="33" spans="1:30" x14ac:dyDescent="0.25">
      <c r="A33" s="19" t="s">
        <v>11</v>
      </c>
      <c r="B33" s="24" t="s">
        <v>802</v>
      </c>
      <c r="C33" s="19">
        <v>5466354881</v>
      </c>
      <c r="D33" s="19" t="s">
        <v>14</v>
      </c>
      <c r="E33" s="19" t="str">
        <f>IFERROR(VLOOKUP(D33,Tanımlar!C:D,2,0),"- - -")</f>
        <v>DAĞITIM</v>
      </c>
      <c r="F33" s="19">
        <v>110852</v>
      </c>
      <c r="G33" s="19" t="str">
        <f>IFERROR(VLOOKUP(F33,'Personel Bilgi'!A:B,2,0),"- - - ")</f>
        <v>UGURCAN ALTUNTERIM</v>
      </c>
      <c r="H33" s="19" t="str">
        <f>IFERROR(VLOOKUP(F33,'Personel Bilgi'!A:D,3,0),"- - -")</f>
        <v>SEDA SEBU</v>
      </c>
      <c r="I33" s="19" t="str">
        <f>IFERROR(VLOOKUP(F33,'Personel Bilgi'!A:D,4,0),"- - -")</f>
        <v>KARS</v>
      </c>
      <c r="J33" s="19" t="str">
        <f>IFERROR(VLOOKUP(F33,'Personel Bilgi'!A:E,5,0),"- - -")</f>
        <v>MÜŞTERİ TEMSİLCİSİ</v>
      </c>
      <c r="K33" s="19" t="s">
        <v>49</v>
      </c>
      <c r="L33" s="21" t="s">
        <v>96</v>
      </c>
      <c r="M33" s="21" t="s">
        <v>40</v>
      </c>
      <c r="N33" s="36">
        <v>45998</v>
      </c>
      <c r="O33" s="36">
        <v>45999</v>
      </c>
      <c r="P33" s="21" t="s">
        <v>1145</v>
      </c>
      <c r="Q33" s="37" t="s">
        <v>735</v>
      </c>
      <c r="R33" s="19" t="s">
        <v>86</v>
      </c>
      <c r="S33" s="21" t="s">
        <v>92</v>
      </c>
      <c r="T33" s="21" t="s">
        <v>95</v>
      </c>
      <c r="U33" s="21">
        <v>75</v>
      </c>
      <c r="V33" s="21" t="s">
        <v>736</v>
      </c>
      <c r="W33" s="35">
        <v>600468</v>
      </c>
      <c r="X33" s="35" t="str">
        <f>IFERROR(VLOOKUP(W33,'Personel Bilgi'!A:B,2,0),"---")</f>
        <v>FATMA NUR SAHIN</v>
      </c>
      <c r="Y33" s="35" t="str">
        <f>IFERROR(VLOOKUP(W33,'Personel Bilgi'!A:C,3,0),"---")</f>
        <v xml:space="preserve">İNAN UMUT ÖRNEK </v>
      </c>
      <c r="Z33" s="35" t="s">
        <v>95</v>
      </c>
      <c r="AA33" s="35" t="s">
        <v>617</v>
      </c>
      <c r="AB33" s="35" t="s">
        <v>49</v>
      </c>
      <c r="AC33" s="35" t="s">
        <v>96</v>
      </c>
      <c r="AD33" s="35" t="s">
        <v>40</v>
      </c>
    </row>
    <row r="34" spans="1:30" x14ac:dyDescent="0.25">
      <c r="A34" s="19" t="s">
        <v>11</v>
      </c>
      <c r="B34" s="24" t="s">
        <v>802</v>
      </c>
      <c r="C34" s="19">
        <v>5466354881</v>
      </c>
      <c r="D34" s="19" t="s">
        <v>14</v>
      </c>
      <c r="E34" s="19" t="str">
        <f>IFERROR(VLOOKUP(D34,Tanımlar!C:D,2,0),"- - -")</f>
        <v>DAĞITIM</v>
      </c>
      <c r="F34" s="19">
        <v>110484</v>
      </c>
      <c r="G34" s="19" t="str">
        <f>IFERROR(VLOOKUP(F34,'Personel Bilgi'!A:B,2,0),"- - - ")</f>
        <v>BIRAN ZAKKUM IVAK</v>
      </c>
      <c r="H34" s="19" t="str">
        <f>IFERROR(VLOOKUP(F34,'Personel Bilgi'!A:D,3,0),"- - -")</f>
        <v>YAREN OZAYAG</v>
      </c>
      <c r="I34" s="19" t="str">
        <f>IFERROR(VLOOKUP(F34,'Personel Bilgi'!A:D,4,0),"- - -")</f>
        <v>KARS</v>
      </c>
      <c r="J34" s="19" t="str">
        <f>IFERROR(VLOOKUP(F34,'Personel Bilgi'!A:E,5,0),"- - -")</f>
        <v>MÜŞTERİ TEMSİLCİSİ</v>
      </c>
      <c r="K34" s="19" t="s">
        <v>49</v>
      </c>
      <c r="L34" s="21" t="s">
        <v>96</v>
      </c>
      <c r="M34" s="21" t="s">
        <v>40</v>
      </c>
      <c r="N34" s="36">
        <v>45998</v>
      </c>
      <c r="O34" s="36">
        <v>45999</v>
      </c>
      <c r="P34" s="21" t="s">
        <v>1145</v>
      </c>
      <c r="Q34" s="37" t="s">
        <v>735</v>
      </c>
      <c r="R34" s="19" t="s">
        <v>86</v>
      </c>
      <c r="S34" s="21" t="s">
        <v>92</v>
      </c>
      <c r="T34" s="21" t="s">
        <v>95</v>
      </c>
      <c r="U34" s="21">
        <v>75</v>
      </c>
      <c r="V34" s="21" t="s">
        <v>736</v>
      </c>
      <c r="W34" s="19">
        <v>110484</v>
      </c>
      <c r="X34" s="35" t="str">
        <f>IFERROR(VLOOKUP(W34,'Personel Bilgi'!A:B,2,0),"---")</f>
        <v>BIRAN ZAKKUM IVAK</v>
      </c>
      <c r="Y34" s="35" t="str">
        <f>IFERROR(VLOOKUP(W34,'Personel Bilgi'!A:C,3,0),"---")</f>
        <v>YAREN OZAYAG</v>
      </c>
      <c r="Z34" s="19" t="s">
        <v>94</v>
      </c>
      <c r="AA34" s="19" t="s">
        <v>616</v>
      </c>
      <c r="AB34" s="19" t="s">
        <v>49</v>
      </c>
      <c r="AC34" s="19" t="s">
        <v>96</v>
      </c>
      <c r="AD34" s="19" t="s">
        <v>40</v>
      </c>
    </row>
    <row r="35" spans="1:30" x14ac:dyDescent="0.25">
      <c r="A35" s="19" t="s">
        <v>11</v>
      </c>
      <c r="B35" s="20" t="s">
        <v>803</v>
      </c>
      <c r="C35" s="19">
        <v>5437723109</v>
      </c>
      <c r="D35" s="19" t="s">
        <v>16</v>
      </c>
      <c r="E35" s="19" t="str">
        <f>IFERROR(VLOOKUP(D35,Tanımlar!C:D,2,0),"- - -")</f>
        <v>DAĞITIM</v>
      </c>
      <c r="F35" s="19">
        <v>110539</v>
      </c>
      <c r="G35" s="19" t="str">
        <f>IFERROR(VLOOKUP(F35,'Personel Bilgi'!A:B,2,0),"- - - ")</f>
        <v>TAYLAN OZGUR DURMUS</v>
      </c>
      <c r="H35" s="19" t="str">
        <f>IFERROR(VLOOKUP(F35,'Personel Bilgi'!A:D,3,0),"- - -")</f>
        <v>YAREN OZAYAG</v>
      </c>
      <c r="I35" s="19" t="str">
        <f>IFERROR(VLOOKUP(F35,'Personel Bilgi'!A:D,4,0),"- - -")</f>
        <v>KARS</v>
      </c>
      <c r="J35" s="19" t="str">
        <f>IFERROR(VLOOKUP(F35,'Personel Bilgi'!A:E,5,0),"- - -")</f>
        <v>MÜŞTERİ TEMSİLCİSİ</v>
      </c>
      <c r="K35" s="19" t="s">
        <v>49</v>
      </c>
      <c r="L35" s="21" t="s">
        <v>41</v>
      </c>
      <c r="M35" s="21" t="s">
        <v>42</v>
      </c>
      <c r="N35" s="36">
        <v>45996</v>
      </c>
      <c r="O35" s="36">
        <v>46000</v>
      </c>
      <c r="P35" s="19" t="s">
        <v>79</v>
      </c>
      <c r="Q35" s="37" t="s">
        <v>735</v>
      </c>
      <c r="R35" s="19" t="s">
        <v>86</v>
      </c>
      <c r="S35" s="21" t="s">
        <v>92</v>
      </c>
      <c r="T35" s="21" t="s">
        <v>94</v>
      </c>
      <c r="U35" s="21">
        <v>0</v>
      </c>
      <c r="V35" s="21" t="s">
        <v>736</v>
      </c>
      <c r="W35" s="35">
        <v>111239</v>
      </c>
      <c r="X35" s="19" t="str">
        <f>IFERROR(VLOOKUP(W35,'Personel Bilgi'!A:B,2,0),"---")</f>
        <v>HIRANUR KALKAN</v>
      </c>
      <c r="Y35" s="19" t="str">
        <f>IFERROR(VLOOKUP(W35,'Personel Bilgi'!A:C,3,0),"---")</f>
        <v>SEVCAN BULUT</v>
      </c>
      <c r="Z35" s="35" t="s">
        <v>95</v>
      </c>
      <c r="AA35" s="35" t="s">
        <v>617</v>
      </c>
      <c r="AB35" s="35" t="s">
        <v>49</v>
      </c>
      <c r="AC35" s="35" t="s">
        <v>41</v>
      </c>
      <c r="AD35" s="35" t="s">
        <v>42</v>
      </c>
    </row>
    <row r="36" spans="1:30" x14ac:dyDescent="0.25">
      <c r="A36" s="19" t="s">
        <v>11</v>
      </c>
      <c r="B36" s="20" t="s">
        <v>803</v>
      </c>
      <c r="C36" s="19">
        <v>5437723109</v>
      </c>
      <c r="D36" s="19" t="s">
        <v>16</v>
      </c>
      <c r="E36" s="19" t="str">
        <f>IFERROR(VLOOKUP(D36,Tanımlar!C:D,2,0),"- - -")</f>
        <v>DAĞITIM</v>
      </c>
      <c r="F36" s="19">
        <v>111252</v>
      </c>
      <c r="G36" s="19" t="str">
        <f>IFERROR(VLOOKUP(F36,'Personel Bilgi'!A:B,2,0),"- - - ")</f>
        <v>BARAN KOYUNCU</v>
      </c>
      <c r="H36" s="19" t="str">
        <f>IFERROR(VLOOKUP(F36,'Personel Bilgi'!A:D,3,0),"- - -")</f>
        <v>YAREN OZAYAG</v>
      </c>
      <c r="I36" s="19" t="str">
        <f>IFERROR(VLOOKUP(F36,'Personel Bilgi'!A:D,4,0),"- - -")</f>
        <v>KARS</v>
      </c>
      <c r="J36" s="19" t="str">
        <f>IFERROR(VLOOKUP(F36,'Personel Bilgi'!A:E,5,0),"- - -")</f>
        <v>MÜŞTERİ TEMSİLCİSİ</v>
      </c>
      <c r="K36" s="19" t="s">
        <v>49</v>
      </c>
      <c r="L36" s="21" t="s">
        <v>41</v>
      </c>
      <c r="M36" s="21" t="s">
        <v>42</v>
      </c>
      <c r="N36" s="36">
        <v>45996</v>
      </c>
      <c r="O36" s="36">
        <v>46000</v>
      </c>
      <c r="P36" s="21" t="s">
        <v>1145</v>
      </c>
      <c r="Q36" s="37" t="s">
        <v>735</v>
      </c>
      <c r="R36" s="19" t="s">
        <v>86</v>
      </c>
      <c r="S36" s="21" t="s">
        <v>92</v>
      </c>
      <c r="T36" s="21" t="s">
        <v>95</v>
      </c>
      <c r="U36" s="21">
        <v>41</v>
      </c>
      <c r="V36" s="21" t="s">
        <v>736</v>
      </c>
      <c r="W36" s="35">
        <v>111239</v>
      </c>
      <c r="X36" s="19" t="str">
        <f>IFERROR(VLOOKUP(W36,'Personel Bilgi'!A:B,2,0),"---")</f>
        <v>HIRANUR KALKAN</v>
      </c>
      <c r="Y36" s="19" t="str">
        <f>IFERROR(VLOOKUP(W36,'Personel Bilgi'!A:C,3,0),"---")</f>
        <v>SEVCAN BULUT</v>
      </c>
      <c r="Z36" s="35" t="s">
        <v>95</v>
      </c>
      <c r="AA36" s="35" t="s">
        <v>617</v>
      </c>
      <c r="AB36" s="35" t="s">
        <v>49</v>
      </c>
      <c r="AC36" s="35" t="s">
        <v>41</v>
      </c>
      <c r="AD36" s="35" t="s">
        <v>42</v>
      </c>
    </row>
    <row r="37" spans="1:30" x14ac:dyDescent="0.25">
      <c r="A37" s="19" t="s">
        <v>11</v>
      </c>
      <c r="B37" s="22" t="s">
        <v>804</v>
      </c>
      <c r="C37" s="19">
        <v>5312590105</v>
      </c>
      <c r="D37" s="22" t="s">
        <v>16</v>
      </c>
      <c r="E37" s="22" t="str">
        <f>IFERROR(VLOOKUP(D37,Tanımlar!C:D,2,0),"- - -")</f>
        <v>DAĞITIM</v>
      </c>
      <c r="F37" s="19">
        <v>111182</v>
      </c>
      <c r="G37" s="19" t="str">
        <f>IFERROR(VLOOKUP(F37,'Personel Bilgi'!A:B,2,0),"- - - ")</f>
        <v>DIDEM KENCU</v>
      </c>
      <c r="H37" s="19" t="str">
        <f>IFERROR(VLOOKUP(F37,'Personel Bilgi'!A:D,3,0),"- - -")</f>
        <v>SEVCAN BULUT</v>
      </c>
      <c r="I37" s="19" t="str">
        <f>IFERROR(VLOOKUP(F37,'Personel Bilgi'!A:D,4,0),"- - -")</f>
        <v>KARS</v>
      </c>
      <c r="J37" s="19" t="str">
        <f>IFERROR(VLOOKUP(F37,'Personel Bilgi'!A:E,5,0),"- - -")</f>
        <v>MÜŞTERİ TEMSİLCİSİ</v>
      </c>
      <c r="K37" s="19" t="s">
        <v>49</v>
      </c>
      <c r="L37" s="19" t="s">
        <v>96</v>
      </c>
      <c r="M37" s="21" t="s">
        <v>40</v>
      </c>
      <c r="N37" s="36">
        <v>45996</v>
      </c>
      <c r="O37" s="36">
        <v>46000</v>
      </c>
      <c r="P37" s="19" t="s">
        <v>81</v>
      </c>
      <c r="Q37" s="37" t="s">
        <v>735</v>
      </c>
      <c r="R37" s="19" t="s">
        <v>86</v>
      </c>
      <c r="S37" s="21" t="s">
        <v>92</v>
      </c>
      <c r="T37" s="21" t="s">
        <v>94</v>
      </c>
      <c r="U37" s="21">
        <v>0</v>
      </c>
      <c r="V37" s="21" t="s">
        <v>736</v>
      </c>
      <c r="W37" s="35">
        <v>111239</v>
      </c>
      <c r="X37" s="19" t="str">
        <f>IFERROR(VLOOKUP(W37,'Personel Bilgi'!A:B,2,0),"---")</f>
        <v>HIRANUR KALKAN</v>
      </c>
      <c r="Y37" s="19" t="str">
        <f>IFERROR(VLOOKUP(W37,'Personel Bilgi'!A:C,3,0),"---")</f>
        <v>SEVCAN BULUT</v>
      </c>
      <c r="Z37" s="35" t="s">
        <v>95</v>
      </c>
      <c r="AA37" s="35" t="s">
        <v>617</v>
      </c>
      <c r="AB37" s="35" t="s">
        <v>49</v>
      </c>
      <c r="AC37" s="35" t="s">
        <v>96</v>
      </c>
      <c r="AD37" s="35" t="s">
        <v>40</v>
      </c>
    </row>
    <row r="38" spans="1:30" x14ac:dyDescent="0.25">
      <c r="A38" s="19" t="s">
        <v>11</v>
      </c>
      <c r="B38" s="22" t="s">
        <v>805</v>
      </c>
      <c r="C38" s="19">
        <v>5522316019</v>
      </c>
      <c r="D38" s="22" t="s">
        <v>16</v>
      </c>
      <c r="E38" s="22" t="str">
        <f>IFERROR(VLOOKUP(D38,Tanımlar!C:D,2,0),"- - -")</f>
        <v>DAĞITIM</v>
      </c>
      <c r="F38" s="19">
        <v>110486</v>
      </c>
      <c r="G38" s="19" t="str">
        <f>IFERROR(VLOOKUP(F38,'Personel Bilgi'!A:B,2,0),"- - - ")</f>
        <v>BUKET CANSU BEKTEMUR</v>
      </c>
      <c r="H38" s="19" t="str">
        <f>IFERROR(VLOOKUP(F38,'Personel Bilgi'!A:D,3,0),"- - -")</f>
        <v>SAFAK TOPTAS</v>
      </c>
      <c r="I38" s="19" t="str">
        <f>IFERROR(VLOOKUP(F38,'Personel Bilgi'!A:D,4,0),"- - -")</f>
        <v>KARS</v>
      </c>
      <c r="J38" s="19" t="str">
        <f>IFERROR(VLOOKUP(F38,'Personel Bilgi'!A:E,5,0),"- - -")</f>
        <v>MÜŞTERİ TEMSİLCİSİ</v>
      </c>
      <c r="K38" s="19" t="s">
        <v>49</v>
      </c>
      <c r="L38" s="19" t="s">
        <v>47</v>
      </c>
      <c r="M38" s="21" t="s">
        <v>603</v>
      </c>
      <c r="N38" s="36">
        <v>45998</v>
      </c>
      <c r="O38" s="36">
        <v>46000</v>
      </c>
      <c r="P38" s="19" t="s">
        <v>80</v>
      </c>
      <c r="Q38" s="37" t="s">
        <v>735</v>
      </c>
      <c r="R38" s="19" t="s">
        <v>86</v>
      </c>
      <c r="S38" s="21" t="s">
        <v>92</v>
      </c>
      <c r="T38" s="21" t="s">
        <v>95</v>
      </c>
      <c r="U38" s="21">
        <v>100</v>
      </c>
      <c r="V38" s="21" t="s">
        <v>736</v>
      </c>
      <c r="W38" s="19">
        <v>110486</v>
      </c>
      <c r="X38" s="19" t="str">
        <f>IFERROR(VLOOKUP(W38,'Personel Bilgi'!A:B,2,0),"---")</f>
        <v>BUKET CANSU BEKTEMUR</v>
      </c>
      <c r="Y38" s="19" t="str">
        <f>IFERROR(VLOOKUP(W38,'Personel Bilgi'!A:C,3,0),"---")</f>
        <v>SAFAK TOPTAS</v>
      </c>
      <c r="Z38" s="35" t="s">
        <v>95</v>
      </c>
      <c r="AA38" s="35" t="s">
        <v>617</v>
      </c>
      <c r="AB38" s="35" t="s">
        <v>49</v>
      </c>
      <c r="AC38" s="35" t="s">
        <v>47</v>
      </c>
      <c r="AD38" s="35" t="s">
        <v>603</v>
      </c>
    </row>
    <row r="39" spans="1:30" x14ac:dyDescent="0.25">
      <c r="A39" s="19" t="s">
        <v>11</v>
      </c>
      <c r="B39" s="22" t="s">
        <v>806</v>
      </c>
      <c r="C39" s="19">
        <v>5456722250</v>
      </c>
      <c r="D39" s="22" t="s">
        <v>14</v>
      </c>
      <c r="E39" s="22" t="str">
        <f>IFERROR(VLOOKUP(D39,Tanımlar!C:D,2,0),"- - -")</f>
        <v>DAĞITIM</v>
      </c>
      <c r="F39" s="19">
        <v>500049</v>
      </c>
      <c r="G39" s="19" t="str">
        <f>IFERROR(VLOOKUP(F39,'Personel Bilgi'!A:B,2,0),"- - - ")</f>
        <v>FERHAT ATICI</v>
      </c>
      <c r="H39" s="19" t="str">
        <f>IFERROR(VLOOKUP(F39,'Personel Bilgi'!A:D,3,0),"- - -")</f>
        <v>MEHMET ALI SAVAN</v>
      </c>
      <c r="I39" s="19" t="str">
        <f>IFERROR(VLOOKUP(F39,'Personel Bilgi'!A:D,4,0),"- - -")</f>
        <v>ERZURUM</v>
      </c>
      <c r="J39" s="19" t="str">
        <f>IFERROR(VLOOKUP(F39,'Personel Bilgi'!A:E,5,0),"- - -")</f>
        <v>MÜŞTERİ TEMSİLCİSİ</v>
      </c>
      <c r="K39" s="19" t="s">
        <v>64</v>
      </c>
      <c r="L39" s="19" t="s">
        <v>41</v>
      </c>
      <c r="M39" s="19" t="s">
        <v>44</v>
      </c>
      <c r="N39" s="36">
        <v>45999</v>
      </c>
      <c r="O39" s="36">
        <v>46000</v>
      </c>
      <c r="P39" s="19" t="s">
        <v>81</v>
      </c>
      <c r="Q39" s="37" t="s">
        <v>735</v>
      </c>
      <c r="R39" s="19" t="s">
        <v>86</v>
      </c>
      <c r="S39" s="21" t="s">
        <v>93</v>
      </c>
      <c r="T39" s="21" t="s">
        <v>95</v>
      </c>
      <c r="U39" s="21" t="s">
        <v>735</v>
      </c>
      <c r="V39" s="21" t="s">
        <v>736</v>
      </c>
      <c r="W39" s="35">
        <v>600593</v>
      </c>
      <c r="X39" s="19" t="str">
        <f>IFERROR(VLOOKUP(W39,'Personel Bilgi'!A:B,2,0),"---")</f>
        <v>FATIH MERCAN</v>
      </c>
      <c r="Y39" s="19" t="str">
        <f>IFERROR(VLOOKUP(W39,'Personel Bilgi'!A:C,3,0),"---")</f>
        <v xml:space="preserve">İNAN UMUT ÖRNEK </v>
      </c>
      <c r="Z39" s="35" t="s">
        <v>95</v>
      </c>
      <c r="AA39" s="35" t="s">
        <v>617</v>
      </c>
      <c r="AB39" s="35" t="s">
        <v>64</v>
      </c>
      <c r="AC39" s="35" t="s">
        <v>41</v>
      </c>
      <c r="AD39" s="35" t="s">
        <v>44</v>
      </c>
    </row>
    <row r="40" spans="1:30" x14ac:dyDescent="0.25">
      <c r="A40" s="19" t="s">
        <v>11</v>
      </c>
      <c r="B40" s="22" t="s">
        <v>807</v>
      </c>
      <c r="C40" s="19">
        <v>5334803838</v>
      </c>
      <c r="D40" s="22" t="s">
        <v>12</v>
      </c>
      <c r="E40" s="22" t="str">
        <f>IFERROR(VLOOKUP(D40,Tanımlar!C:D,2,0),"- - -")</f>
        <v>DAĞITIM</v>
      </c>
      <c r="F40" s="19">
        <v>111241</v>
      </c>
      <c r="G40" s="19" t="str">
        <f>IFERROR(VLOOKUP(F40,'Personel Bilgi'!A:B,2,0),"- - - ")</f>
        <v>GURKAN KILDIS</v>
      </c>
      <c r="H40" s="19" t="str">
        <f>IFERROR(VLOOKUP(F40,'Personel Bilgi'!A:D,3,0),"- - -")</f>
        <v>YAPRAK KARAKOC</v>
      </c>
      <c r="I40" s="19" t="str">
        <f>IFERROR(VLOOKUP(F40,'Personel Bilgi'!A:D,4,0),"- - -")</f>
        <v>KARS</v>
      </c>
      <c r="J40" s="19" t="str">
        <f>IFERROR(VLOOKUP(F40,'Personel Bilgi'!A:E,5,0),"- - -")</f>
        <v>MÜŞTERİ TEMSİLCİSİ</v>
      </c>
      <c r="K40" s="19" t="s">
        <v>49</v>
      </c>
      <c r="L40" s="19" t="s">
        <v>47</v>
      </c>
      <c r="M40" s="19" t="s">
        <v>603</v>
      </c>
      <c r="N40" s="36">
        <v>45996</v>
      </c>
      <c r="O40" s="36">
        <v>46000</v>
      </c>
      <c r="P40" s="19" t="s">
        <v>80</v>
      </c>
      <c r="Q40" s="37" t="s">
        <v>735</v>
      </c>
      <c r="R40" s="19" t="s">
        <v>86</v>
      </c>
      <c r="S40" s="21" t="s">
        <v>92</v>
      </c>
      <c r="T40" s="21" t="s">
        <v>95</v>
      </c>
      <c r="U40" s="21">
        <v>90</v>
      </c>
      <c r="V40" s="21" t="s">
        <v>736</v>
      </c>
      <c r="W40" s="35">
        <v>500109</v>
      </c>
      <c r="X40" s="19" t="str">
        <f>IFERROR(VLOOKUP(W40,'Personel Bilgi'!A:B,2,0),"---")</f>
        <v>MUHAMMET EMIN AKSAKAL</v>
      </c>
      <c r="Y40" s="19" t="str">
        <f>IFERROR(VLOOKUP(W40,'Personel Bilgi'!A:C,3,0),"---")</f>
        <v>METEHAN EMRE SIRMALI</v>
      </c>
      <c r="Z40" s="35" t="s">
        <v>95</v>
      </c>
      <c r="AA40" s="35" t="s">
        <v>617</v>
      </c>
      <c r="AB40" s="35" t="s">
        <v>49</v>
      </c>
      <c r="AC40" s="35" t="s">
        <v>47</v>
      </c>
      <c r="AD40" s="35" t="s">
        <v>603</v>
      </c>
    </row>
    <row r="41" spans="1:30" x14ac:dyDescent="0.25">
      <c r="A41" s="19" t="s">
        <v>11</v>
      </c>
      <c r="B41" s="22" t="s">
        <v>808</v>
      </c>
      <c r="C41" s="19">
        <v>5330921482</v>
      </c>
      <c r="D41" s="22" t="s">
        <v>14</v>
      </c>
      <c r="E41" s="22" t="str">
        <f>IFERROR(VLOOKUP(D41,Tanımlar!C:D,2,0),"- - -")</f>
        <v>DAĞITIM</v>
      </c>
      <c r="F41" s="19">
        <v>111241</v>
      </c>
      <c r="G41" s="19" t="str">
        <f>IFERROR(VLOOKUP(F41,'Personel Bilgi'!A:B,2,0),"- - - ")</f>
        <v>GURKAN KILDIS</v>
      </c>
      <c r="H41" s="19" t="str">
        <f>IFERROR(VLOOKUP(F41,'Personel Bilgi'!A:D,3,0),"- - -")</f>
        <v>YAPRAK KARAKOC</v>
      </c>
      <c r="I41" s="19" t="str">
        <f>IFERROR(VLOOKUP(F41,'Personel Bilgi'!A:D,4,0),"- - -")</f>
        <v>KARS</v>
      </c>
      <c r="J41" s="19" t="str">
        <f>IFERROR(VLOOKUP(F41,'Personel Bilgi'!A:E,5,0),"- - -")</f>
        <v>MÜŞTERİ TEMSİLCİSİ</v>
      </c>
      <c r="K41" s="19" t="s">
        <v>54</v>
      </c>
      <c r="L41" s="19" t="s">
        <v>96</v>
      </c>
      <c r="M41" s="19" t="s">
        <v>36</v>
      </c>
      <c r="N41" s="36">
        <v>45999</v>
      </c>
      <c r="O41" s="36">
        <v>46000</v>
      </c>
      <c r="P41" s="19" t="s">
        <v>81</v>
      </c>
      <c r="Q41" s="37" t="s">
        <v>735</v>
      </c>
      <c r="R41" s="19" t="s">
        <v>86</v>
      </c>
      <c r="S41" s="21" t="s">
        <v>92</v>
      </c>
      <c r="T41" s="21" t="s">
        <v>95</v>
      </c>
      <c r="U41" s="21">
        <v>90</v>
      </c>
      <c r="V41" s="21" t="s">
        <v>736</v>
      </c>
      <c r="W41" s="35">
        <v>500141</v>
      </c>
      <c r="X41" s="19" t="str">
        <f>IFERROR(VLOOKUP(W41,'Personel Bilgi'!A:B,2,0),"---")</f>
        <v>ZIHNI AKPINAR</v>
      </c>
      <c r="Y41" s="19" t="str">
        <f>IFERROR(VLOOKUP(W41,'Personel Bilgi'!A:C,3,0),"---")</f>
        <v>SAMET KOCABEYOGLU</v>
      </c>
      <c r="Z41" s="35" t="s">
        <v>94</v>
      </c>
      <c r="AA41" s="35" t="s">
        <v>616</v>
      </c>
      <c r="AB41" s="35" t="s">
        <v>54</v>
      </c>
      <c r="AC41" s="35" t="s">
        <v>96</v>
      </c>
      <c r="AD41" s="35" t="s">
        <v>36</v>
      </c>
    </row>
    <row r="42" spans="1:30" x14ac:dyDescent="0.25">
      <c r="A42" s="19" t="s">
        <v>11</v>
      </c>
      <c r="B42" s="22" t="s">
        <v>809</v>
      </c>
      <c r="C42" s="19">
        <v>5330921482</v>
      </c>
      <c r="D42" s="22" t="s">
        <v>14</v>
      </c>
      <c r="E42" s="22" t="str">
        <f>IFERROR(VLOOKUP(D42,Tanımlar!C:D,2,0),"- - -")</f>
        <v>DAĞITIM</v>
      </c>
      <c r="F42" s="19">
        <v>600409</v>
      </c>
      <c r="G42" s="19" t="str">
        <f>IFERROR(VLOOKUP(F42,'Personel Bilgi'!A:B,2,0),"- - - ")</f>
        <v>OZNIL SENEFE</v>
      </c>
      <c r="H42" s="19" t="str">
        <f>IFERROR(VLOOKUP(F42,'Personel Bilgi'!A:D,3,0),"- - -")</f>
        <v xml:space="preserve">İNAN UMUT ÖRNEK </v>
      </c>
      <c r="I42" s="19" t="str">
        <f>IFERROR(VLOOKUP(F42,'Personel Bilgi'!A:D,4,0),"- - -")</f>
        <v>ANKARA</v>
      </c>
      <c r="J42" s="19" t="str">
        <f>IFERROR(VLOOKUP(F42,'Personel Bilgi'!A:E,5,0),"- - -")</f>
        <v>MÜŞTERİ TEMSİLCİSİ</v>
      </c>
      <c r="K42" s="19" t="s">
        <v>54</v>
      </c>
      <c r="L42" s="19" t="s">
        <v>96</v>
      </c>
      <c r="M42" s="19" t="s">
        <v>36</v>
      </c>
      <c r="N42" s="36">
        <v>45996</v>
      </c>
      <c r="O42" s="36">
        <v>46000</v>
      </c>
      <c r="P42" s="19" t="s">
        <v>81</v>
      </c>
      <c r="Q42" s="37" t="s">
        <v>735</v>
      </c>
      <c r="R42" s="19" t="s">
        <v>86</v>
      </c>
      <c r="S42" s="21" t="s">
        <v>92</v>
      </c>
      <c r="T42" s="21" t="s">
        <v>95</v>
      </c>
      <c r="U42" s="46">
        <v>60</v>
      </c>
      <c r="V42" s="21" t="s">
        <v>736</v>
      </c>
      <c r="W42" s="35">
        <v>500141</v>
      </c>
      <c r="X42" s="19" t="str">
        <f>IFERROR(VLOOKUP(W42,'Personel Bilgi'!A:B,2,0),"---")</f>
        <v>ZIHNI AKPINAR</v>
      </c>
      <c r="Y42" s="19" t="str">
        <f>IFERROR(VLOOKUP(W42,'Personel Bilgi'!A:C,3,0),"---")</f>
        <v>SAMET KOCABEYOGLU</v>
      </c>
      <c r="Z42" s="35" t="s">
        <v>94</v>
      </c>
      <c r="AA42" s="35" t="s">
        <v>616</v>
      </c>
      <c r="AB42" s="35" t="s">
        <v>54</v>
      </c>
      <c r="AC42" s="35" t="s">
        <v>96</v>
      </c>
      <c r="AD42" s="35" t="s">
        <v>36</v>
      </c>
    </row>
    <row r="43" spans="1:30" x14ac:dyDescent="0.25">
      <c r="A43" s="19" t="s">
        <v>11</v>
      </c>
      <c r="B43" s="22" t="s">
        <v>810</v>
      </c>
      <c r="C43" s="19">
        <v>5454583916</v>
      </c>
      <c r="D43" s="22" t="s">
        <v>14</v>
      </c>
      <c r="E43" s="22" t="str">
        <f>IFERROR(VLOOKUP(D43,Tanımlar!C:D,2,0),"- - -")</f>
        <v>DAĞITIM</v>
      </c>
      <c r="F43" s="35">
        <v>500148</v>
      </c>
      <c r="G43" s="19" t="str">
        <f>IFERROR(VLOOKUP(F43,'Personel Bilgi'!A:B,2,0),"- - - ")</f>
        <v>DUYGU SAKAR</v>
      </c>
      <c r="H43" s="19" t="str">
        <f>IFERROR(VLOOKUP(F43,'Personel Bilgi'!A:D,3,0),"- - -")</f>
        <v>KURSAD TERCANLI</v>
      </c>
      <c r="I43" s="19" t="str">
        <f>IFERROR(VLOOKUP(F43,'Personel Bilgi'!A:D,4,0),"- - -")</f>
        <v>ERZURUM</v>
      </c>
      <c r="J43" s="19" t="str">
        <f>IFERROR(VLOOKUP(F43,'Personel Bilgi'!A:E,5,0),"- - -")</f>
        <v>MÜŞTERİ TEMSİLCİSİ</v>
      </c>
      <c r="K43" s="19" t="s">
        <v>49</v>
      </c>
      <c r="L43" s="19" t="s">
        <v>97</v>
      </c>
      <c r="M43" s="19" t="s">
        <v>734</v>
      </c>
      <c r="N43" s="36">
        <v>45999</v>
      </c>
      <c r="O43" s="36">
        <v>46000</v>
      </c>
      <c r="P43" s="19" t="s">
        <v>81</v>
      </c>
      <c r="Q43" s="37" t="s">
        <v>735</v>
      </c>
      <c r="R43" s="19" t="s">
        <v>86</v>
      </c>
      <c r="S43" s="21" t="s">
        <v>92</v>
      </c>
      <c r="T43" s="21" t="s">
        <v>94</v>
      </c>
      <c r="U43" s="21">
        <v>0</v>
      </c>
      <c r="V43" s="21" t="s">
        <v>736</v>
      </c>
      <c r="W43" s="35">
        <v>600593</v>
      </c>
      <c r="X43" s="19" t="str">
        <f>IFERROR(VLOOKUP(W43,'Personel Bilgi'!A:B,2,0),"---")</f>
        <v>FATIH MERCAN</v>
      </c>
      <c r="Y43" s="19" t="str">
        <f>IFERROR(VLOOKUP(W43,'Personel Bilgi'!A:C,3,0),"---")</f>
        <v xml:space="preserve">İNAN UMUT ÖRNEK </v>
      </c>
      <c r="Z43" s="35" t="s">
        <v>95</v>
      </c>
      <c r="AA43" s="35" t="s">
        <v>617</v>
      </c>
      <c r="AB43" s="35" t="s">
        <v>49</v>
      </c>
      <c r="AC43" s="35" t="s">
        <v>97</v>
      </c>
      <c r="AD43" s="35" t="s">
        <v>734</v>
      </c>
    </row>
    <row r="44" spans="1:30" x14ac:dyDescent="0.25">
      <c r="A44" s="19" t="s">
        <v>11</v>
      </c>
      <c r="B44" s="22" t="s">
        <v>811</v>
      </c>
      <c r="C44" s="19">
        <v>5533694165</v>
      </c>
      <c r="D44" s="19" t="s">
        <v>16</v>
      </c>
      <c r="E44" s="19" t="str">
        <f>IFERROR(VLOOKUP(D44,Tanımlar!C:D,2,0),"- - -")</f>
        <v>DAĞITIM</v>
      </c>
      <c r="F44" s="35">
        <v>111243</v>
      </c>
      <c r="G44" s="19" t="str">
        <f>IFERROR(VLOOKUP(F44,'Personel Bilgi'!A:B,2,0),"- - - ")</f>
        <v>FATMA SENA SEFEROGLU</v>
      </c>
      <c r="H44" s="19" t="str">
        <f>IFERROR(VLOOKUP(F44,'Personel Bilgi'!A:D,3,0),"- - -")</f>
        <v>SAFAK TOPTAS</v>
      </c>
      <c r="I44" s="19" t="str">
        <f>IFERROR(VLOOKUP(F44,'Personel Bilgi'!A:D,4,0),"- - -")</f>
        <v>KARS</v>
      </c>
      <c r="J44" s="19" t="str">
        <f>IFERROR(VLOOKUP(F44,'Personel Bilgi'!A:E,5,0),"- - -")</f>
        <v>MÜŞTERİ TEMSİLCİSİ</v>
      </c>
      <c r="K44" s="19" t="s">
        <v>53</v>
      </c>
      <c r="L44" s="19" t="s">
        <v>97</v>
      </c>
      <c r="M44" s="19" t="s">
        <v>21</v>
      </c>
      <c r="N44" s="36">
        <v>46000</v>
      </c>
      <c r="O44" s="36">
        <v>46000</v>
      </c>
      <c r="P44" s="19" t="s">
        <v>81</v>
      </c>
      <c r="Q44" s="37" t="s">
        <v>735</v>
      </c>
      <c r="R44" s="19" t="s">
        <v>86</v>
      </c>
      <c r="S44" s="21" t="s">
        <v>92</v>
      </c>
      <c r="T44" s="21" t="s">
        <v>95</v>
      </c>
      <c r="U44" s="21">
        <v>90</v>
      </c>
      <c r="V44" s="21" t="s">
        <v>736</v>
      </c>
      <c r="W44" s="35">
        <v>500141</v>
      </c>
      <c r="X44" s="19" t="str">
        <f>IFERROR(VLOOKUP(W44,'Personel Bilgi'!A:B,2,0),"---")</f>
        <v>ZIHNI AKPINAR</v>
      </c>
      <c r="Y44" s="19" t="str">
        <f>IFERROR(VLOOKUP(W44,'Personel Bilgi'!A:C,3,0),"---")</f>
        <v>SAMET KOCABEYOGLU</v>
      </c>
      <c r="Z44" s="35" t="s">
        <v>95</v>
      </c>
      <c r="AA44" s="35" t="s">
        <v>617</v>
      </c>
      <c r="AB44" s="35" t="s">
        <v>53</v>
      </c>
      <c r="AC44" s="35" t="s">
        <v>97</v>
      </c>
      <c r="AD44" s="35" t="s">
        <v>21</v>
      </c>
    </row>
    <row r="45" spans="1:30" x14ac:dyDescent="0.25">
      <c r="A45" s="19" t="s">
        <v>11</v>
      </c>
      <c r="B45" s="22" t="s">
        <v>812</v>
      </c>
      <c r="C45" s="19">
        <v>5345738221</v>
      </c>
      <c r="D45" s="19" t="s">
        <v>14</v>
      </c>
      <c r="E45" s="19" t="str">
        <f>IFERROR(VLOOKUP(D45,Tanımlar!C:D,2,0),"- - -")</f>
        <v>DAĞITIM</v>
      </c>
      <c r="F45" s="35">
        <v>600655</v>
      </c>
      <c r="G45" s="19" t="str">
        <f>IFERROR(VLOOKUP(F45,'Personel Bilgi'!A:B,2,0),"- - - ")</f>
        <v>OYKU CARDAKLI</v>
      </c>
      <c r="H45" s="19" t="str">
        <f>IFERROR(VLOOKUP(F45,'Personel Bilgi'!A:D,3,0),"- - -")</f>
        <v xml:space="preserve">İNAN UMUT ÖRNEK </v>
      </c>
      <c r="I45" s="19" t="str">
        <f>IFERROR(VLOOKUP(F45,'Personel Bilgi'!A:D,4,0),"- - -")</f>
        <v>ANKARA</v>
      </c>
      <c r="J45" s="19" t="str">
        <f>IFERROR(VLOOKUP(F45,'Personel Bilgi'!A:E,5,0),"- - -")</f>
        <v>MÜŞTERİ TEMSİLCİSİ</v>
      </c>
      <c r="K45" s="19" t="s">
        <v>54</v>
      </c>
      <c r="L45" s="19" t="s">
        <v>97</v>
      </c>
      <c r="M45" s="19" t="s">
        <v>21</v>
      </c>
      <c r="N45" s="36">
        <v>46000</v>
      </c>
      <c r="O45" s="36">
        <v>46000</v>
      </c>
      <c r="P45" s="21" t="s">
        <v>1145</v>
      </c>
      <c r="Q45" s="37" t="s">
        <v>735</v>
      </c>
      <c r="R45" s="19" t="s">
        <v>86</v>
      </c>
      <c r="S45" s="21" t="s">
        <v>92</v>
      </c>
      <c r="T45" s="21" t="s">
        <v>94</v>
      </c>
      <c r="U45" s="21">
        <v>0</v>
      </c>
      <c r="V45" s="21" t="s">
        <v>736</v>
      </c>
      <c r="W45" s="35">
        <v>500109</v>
      </c>
      <c r="X45" s="19" t="str">
        <f>IFERROR(VLOOKUP(W45,'Personel Bilgi'!A:B,2,0),"---")</f>
        <v>MUHAMMET EMIN AKSAKAL</v>
      </c>
      <c r="Y45" s="19" t="str">
        <f>IFERROR(VLOOKUP(W45,'Personel Bilgi'!A:C,3,0),"---")</f>
        <v>METEHAN EMRE SIRMALI</v>
      </c>
      <c r="Z45" s="35" t="s">
        <v>95</v>
      </c>
      <c r="AA45" s="35" t="s">
        <v>617</v>
      </c>
      <c r="AB45" s="35" t="s">
        <v>54</v>
      </c>
      <c r="AC45" s="35" t="s">
        <v>97</v>
      </c>
      <c r="AD45" s="35" t="s">
        <v>21</v>
      </c>
    </row>
    <row r="46" spans="1:30" x14ac:dyDescent="0.25">
      <c r="A46" s="19" t="s">
        <v>11</v>
      </c>
      <c r="B46" s="22" t="s">
        <v>813</v>
      </c>
      <c r="C46" s="19">
        <v>5333780214</v>
      </c>
      <c r="D46" s="19" t="s">
        <v>14</v>
      </c>
      <c r="E46" s="19" t="str">
        <f>IFERROR(VLOOKUP(D46,Tanımlar!C:D,2,0),"- - -")</f>
        <v>DAĞITIM</v>
      </c>
      <c r="F46" s="35">
        <v>111240</v>
      </c>
      <c r="G46" s="19" t="str">
        <f>IFERROR(VLOOKUP(F46,'Personel Bilgi'!A:B,2,0),"- - - ")</f>
        <v>BERAT KILICARSLAN</v>
      </c>
      <c r="H46" s="19" t="str">
        <f>IFERROR(VLOOKUP(F46,'Personel Bilgi'!A:D,3,0),"- - -")</f>
        <v>YAPRAK KARAKOC</v>
      </c>
      <c r="I46" s="19" t="str">
        <f>IFERROR(VLOOKUP(F46,'Personel Bilgi'!A:D,4,0),"- - -")</f>
        <v>KARS</v>
      </c>
      <c r="J46" s="19" t="str">
        <f>IFERROR(VLOOKUP(F46,'Personel Bilgi'!A:E,5,0),"- - -")</f>
        <v>MÜŞTERİ TEMSİLCİSİ</v>
      </c>
      <c r="K46" s="19" t="s">
        <v>49</v>
      </c>
      <c r="L46" s="19" t="s">
        <v>97</v>
      </c>
      <c r="M46" s="19" t="s">
        <v>734</v>
      </c>
      <c r="N46" s="36">
        <v>46000</v>
      </c>
      <c r="O46" s="36">
        <v>46000</v>
      </c>
      <c r="P46" s="19" t="s">
        <v>81</v>
      </c>
      <c r="Q46" s="37" t="s">
        <v>735</v>
      </c>
      <c r="R46" s="19" t="s">
        <v>86</v>
      </c>
      <c r="S46" s="21" t="s">
        <v>92</v>
      </c>
      <c r="T46" s="21" t="s">
        <v>94</v>
      </c>
      <c r="U46" s="21">
        <v>0</v>
      </c>
      <c r="V46" s="21" t="s">
        <v>736</v>
      </c>
      <c r="W46" s="35">
        <v>500143</v>
      </c>
      <c r="X46" s="19" t="str">
        <f>IFERROR(VLOOKUP(W46,'Personel Bilgi'!A:B,2,0),"---")</f>
        <v>AYDANUR TANAS</v>
      </c>
      <c r="Y46" s="19" t="str">
        <f>IFERROR(VLOOKUP(W46,'Personel Bilgi'!A:C,3,0),"---")</f>
        <v>KURSAD TERCANLI</v>
      </c>
      <c r="Z46" s="19" t="s">
        <v>94</v>
      </c>
      <c r="AA46" s="35" t="s">
        <v>616</v>
      </c>
      <c r="AB46" s="35" t="s">
        <v>49</v>
      </c>
      <c r="AC46" s="35" t="s">
        <v>97</v>
      </c>
      <c r="AD46" s="35" t="s">
        <v>734</v>
      </c>
    </row>
    <row r="47" spans="1:30" x14ac:dyDescent="0.25">
      <c r="A47" s="19" t="s">
        <v>11</v>
      </c>
      <c r="B47" s="22" t="s">
        <v>814</v>
      </c>
      <c r="C47" s="19">
        <v>5349776885</v>
      </c>
      <c r="D47" s="19" t="s">
        <v>14</v>
      </c>
      <c r="E47" s="19" t="str">
        <f>IFERROR(VLOOKUP(D47,Tanımlar!C:D,2,0),"- - -")</f>
        <v>DAĞITIM</v>
      </c>
      <c r="F47" s="19">
        <v>600189</v>
      </c>
      <c r="G47" s="19" t="str">
        <f>IFERROR(VLOOKUP(F47,'Personel Bilgi'!A:B,2,0),"- - - ")</f>
        <v xml:space="preserve">MEHMET ALI SAVAN </v>
      </c>
      <c r="H47" s="19" t="str">
        <f>IFERROR(VLOOKUP(F47,'Personel Bilgi'!A:D,3,0),"- - -")</f>
        <v xml:space="preserve">MEHMET ALI SAVAN </v>
      </c>
      <c r="I47" s="19" t="str">
        <f>IFERROR(VLOOKUP(F47,'Personel Bilgi'!A:D,4,0),"- - -")</f>
        <v>ERZURUM</v>
      </c>
      <c r="J47" s="19" t="str">
        <f>IFERROR(VLOOKUP(F47,'Personel Bilgi'!A:E,5,0),"- - -")</f>
        <v>TAKIM LİDERİ</v>
      </c>
      <c r="K47" s="19" t="s">
        <v>49</v>
      </c>
      <c r="L47" s="19" t="s">
        <v>97</v>
      </c>
      <c r="M47" s="19" t="s">
        <v>22</v>
      </c>
      <c r="N47" s="36">
        <v>46000</v>
      </c>
      <c r="O47" s="36">
        <v>46001</v>
      </c>
      <c r="P47" s="19" t="s">
        <v>81</v>
      </c>
      <c r="Q47" s="46"/>
      <c r="R47" s="19" t="s">
        <v>86</v>
      </c>
      <c r="S47" s="21" t="s">
        <v>93</v>
      </c>
      <c r="T47" s="21" t="s">
        <v>95</v>
      </c>
      <c r="U47" s="21" t="s">
        <v>735</v>
      </c>
      <c r="V47" s="21" t="s">
        <v>736</v>
      </c>
      <c r="W47" s="35">
        <v>111175</v>
      </c>
      <c r="X47" s="19" t="str">
        <f>IFERROR(VLOOKUP(W47,'Personel Bilgi'!A:B,2,0),"---")</f>
        <v>TOLGA SELIMOGLU</v>
      </c>
      <c r="Y47" s="19" t="str">
        <f>IFERROR(VLOOKUP(W47,'Personel Bilgi'!A:C,3,0),"---")</f>
        <v>YAPRAK KARAKOC</v>
      </c>
      <c r="Z47" s="35" t="s">
        <v>95</v>
      </c>
      <c r="AA47" s="35" t="s">
        <v>617</v>
      </c>
      <c r="AB47" s="35" t="s">
        <v>49</v>
      </c>
      <c r="AC47" s="35" t="s">
        <v>97</v>
      </c>
      <c r="AD47" s="35" t="s">
        <v>22</v>
      </c>
    </row>
    <row r="48" spans="1:30" x14ac:dyDescent="0.25">
      <c r="A48" s="19" t="s">
        <v>11</v>
      </c>
      <c r="B48" s="22" t="s">
        <v>815</v>
      </c>
      <c r="C48" s="19">
        <v>5469028378</v>
      </c>
      <c r="D48" s="19" t="s">
        <v>14</v>
      </c>
      <c r="E48" s="19" t="str">
        <f>IFERROR(VLOOKUP(D48,Tanımlar!C:D,2,0),"- - -")</f>
        <v>DAĞITIM</v>
      </c>
      <c r="F48" s="35">
        <v>110875</v>
      </c>
      <c r="G48" s="19" t="str">
        <f>IFERROR(VLOOKUP(F48,'Personel Bilgi'!A:B,2,0),"- - - ")</f>
        <v>BERHAN ALP</v>
      </c>
      <c r="H48" s="19" t="str">
        <f>IFERROR(VLOOKUP(F48,'Personel Bilgi'!A:D,3,0),"- - -")</f>
        <v>SEVCAN BULUT</v>
      </c>
      <c r="I48" s="19" t="str">
        <f>IFERROR(VLOOKUP(F48,'Personel Bilgi'!A:D,4,0),"- - -")</f>
        <v>KARS</v>
      </c>
      <c r="J48" s="19" t="str">
        <f>IFERROR(VLOOKUP(F48,'Personel Bilgi'!A:E,5,0),"- - -")</f>
        <v>MÜŞTERİ TEMSİLCİSİ</v>
      </c>
      <c r="K48" s="19" t="s">
        <v>64</v>
      </c>
      <c r="L48" s="19" t="s">
        <v>41</v>
      </c>
      <c r="M48" s="19" t="s">
        <v>44</v>
      </c>
      <c r="N48" s="36">
        <v>46001</v>
      </c>
      <c r="O48" s="36">
        <v>46001</v>
      </c>
      <c r="P48" s="19" t="s">
        <v>81</v>
      </c>
      <c r="Q48" s="37" t="s">
        <v>735</v>
      </c>
      <c r="R48" s="19" t="s">
        <v>86</v>
      </c>
      <c r="S48" s="21" t="s">
        <v>93</v>
      </c>
      <c r="T48" s="21" t="s">
        <v>95</v>
      </c>
      <c r="U48" s="21" t="s">
        <v>735</v>
      </c>
      <c r="V48" s="21" t="s">
        <v>736</v>
      </c>
      <c r="W48" s="35">
        <v>210420</v>
      </c>
      <c r="X48" s="19" t="str">
        <f>IFERROR(VLOOKUP(W48,'Personel Bilgi'!A:B,2,0),"---")</f>
        <v>ROJIN ORAL</v>
      </c>
      <c r="Y48" s="19" t="str">
        <f>IFERROR(VLOOKUP(W48,'Personel Bilgi'!A:C,3,0),"---")</f>
        <v>MUHAMMET AKSU</v>
      </c>
      <c r="Z48" s="35" t="s">
        <v>95</v>
      </c>
      <c r="AA48" s="35" t="s">
        <v>617</v>
      </c>
      <c r="AB48" s="35" t="s">
        <v>64</v>
      </c>
      <c r="AC48" s="35" t="s">
        <v>41</v>
      </c>
      <c r="AD48" s="35" t="s">
        <v>44</v>
      </c>
    </row>
    <row r="49" spans="1:30" x14ac:dyDescent="0.25">
      <c r="A49" s="19" t="s">
        <v>11</v>
      </c>
      <c r="B49" s="22" t="s">
        <v>816</v>
      </c>
      <c r="C49" s="19">
        <v>5054410368</v>
      </c>
      <c r="D49" s="19" t="s">
        <v>14</v>
      </c>
      <c r="E49" s="19" t="str">
        <f>IFERROR(VLOOKUP(D49,Tanımlar!C:D,2,0),"- - -")</f>
        <v>DAĞITIM</v>
      </c>
      <c r="F49" s="35">
        <v>500153</v>
      </c>
      <c r="G49" s="19" t="str">
        <f>IFERROR(VLOOKUP(F49,'Personel Bilgi'!A:B,2,0),"- - - ")</f>
        <v>ESRA YILMAZ</v>
      </c>
      <c r="H49" s="19" t="str">
        <f>IFERROR(VLOOKUP(F49,'Personel Bilgi'!A:D,3,0),"- - -")</f>
        <v>KURSAD TERCANLI</v>
      </c>
      <c r="I49" s="19" t="str">
        <f>IFERROR(VLOOKUP(F49,'Personel Bilgi'!A:D,4,0),"- - -")</f>
        <v>ERZURUM</v>
      </c>
      <c r="J49" s="19" t="str">
        <f>IFERROR(VLOOKUP(F49,'Personel Bilgi'!A:E,5,0),"- - -")</f>
        <v>MÜŞTERİ TEMSİLCİSİ</v>
      </c>
      <c r="K49" s="19" t="s">
        <v>70</v>
      </c>
      <c r="L49" s="19" t="s">
        <v>41</v>
      </c>
      <c r="M49" s="19" t="s">
        <v>44</v>
      </c>
      <c r="N49" s="36">
        <v>46000</v>
      </c>
      <c r="O49" s="36">
        <v>46001</v>
      </c>
      <c r="P49" s="19" t="s">
        <v>79</v>
      </c>
      <c r="Q49" s="37" t="s">
        <v>735</v>
      </c>
      <c r="R49" s="19" t="s">
        <v>86</v>
      </c>
      <c r="S49" s="21" t="s">
        <v>92</v>
      </c>
      <c r="T49" s="21" t="s">
        <v>94</v>
      </c>
      <c r="U49" s="21">
        <v>0</v>
      </c>
      <c r="V49" s="21" t="s">
        <v>736</v>
      </c>
      <c r="W49" s="35">
        <v>500122</v>
      </c>
      <c r="X49" s="19" t="str">
        <f>IFERROR(VLOOKUP(W49,'Personel Bilgi'!A:B,2,0),"---")</f>
        <v>EYLUL YILDIRIM</v>
      </c>
      <c r="Y49" s="19" t="str">
        <f>IFERROR(VLOOKUP(W49,'Personel Bilgi'!A:C,3,0),"---")</f>
        <v>SAMET KOCABEYOGLU</v>
      </c>
      <c r="Z49" s="35" t="s">
        <v>95</v>
      </c>
      <c r="AA49" s="35" t="s">
        <v>617</v>
      </c>
      <c r="AB49" s="35" t="s">
        <v>70</v>
      </c>
      <c r="AC49" s="35" t="s">
        <v>41</v>
      </c>
      <c r="AD49" s="35" t="s">
        <v>44</v>
      </c>
    </row>
    <row r="50" spans="1:30" x14ac:dyDescent="0.25">
      <c r="A50" s="19" t="s">
        <v>11</v>
      </c>
      <c r="B50" s="22" t="s">
        <v>817</v>
      </c>
      <c r="C50" s="21">
        <v>5302739848</v>
      </c>
      <c r="D50" s="22" t="s">
        <v>13</v>
      </c>
      <c r="E50" s="19" t="str">
        <f>IFERROR(VLOOKUP(D50,Tanımlar!C:D,2,0),"- - -")</f>
        <v>PERAKENDE</v>
      </c>
      <c r="F50" s="19">
        <v>210021</v>
      </c>
      <c r="G50" s="19" t="str">
        <f>IFERROR(VLOOKUP(F50,'Personel Bilgi'!A:B,2,0),"- - - ")</f>
        <v>HUSEYIN AKBULUT</v>
      </c>
      <c r="H50" s="19" t="str">
        <f>IFERROR(VLOOKUP(F50,'Personel Bilgi'!A:D,3,0),"- - -")</f>
        <v>KURTHAN FERDI CIHANTIMUR</v>
      </c>
      <c r="I50" s="19" t="str">
        <f>IFERROR(VLOOKUP(F50,'Personel Bilgi'!A:D,4,0),"- - -")</f>
        <v>KARS</v>
      </c>
      <c r="J50" s="19" t="s">
        <v>695</v>
      </c>
      <c r="K50" s="21" t="s">
        <v>66</v>
      </c>
      <c r="L50" s="21" t="s">
        <v>47</v>
      </c>
      <c r="M50" s="21" t="s">
        <v>603</v>
      </c>
      <c r="N50" s="36">
        <v>45992</v>
      </c>
      <c r="O50" s="36">
        <v>45993</v>
      </c>
      <c r="P50" s="19" t="s">
        <v>80</v>
      </c>
      <c r="Q50" s="37" t="s">
        <v>735</v>
      </c>
      <c r="R50" s="21" t="s">
        <v>790</v>
      </c>
      <c r="S50" s="21" t="s">
        <v>92</v>
      </c>
      <c r="T50" s="21" t="s">
        <v>95</v>
      </c>
      <c r="U50" s="21">
        <v>100</v>
      </c>
      <c r="V50" s="21" t="s">
        <v>736</v>
      </c>
      <c r="W50" s="21">
        <v>600592</v>
      </c>
      <c r="X50" s="19" t="str">
        <f>IFERROR(VLOOKUP(W50,'Personel Bilgi'!A:B,2,0),"---")</f>
        <v>MELIKE ILAYDA CAL</v>
      </c>
      <c r="Y50" s="19" t="str">
        <f>IFERROR(VLOOKUP(W50,'Personel Bilgi'!A:C,3,0),"---")</f>
        <v>ASYA DAG</v>
      </c>
      <c r="Z50" s="22" t="s">
        <v>95</v>
      </c>
      <c r="AA50" s="22" t="s">
        <v>617</v>
      </c>
      <c r="AB50" s="22" t="s">
        <v>66</v>
      </c>
      <c r="AC50" s="22" t="s">
        <v>47</v>
      </c>
      <c r="AD50" s="22" t="s">
        <v>603</v>
      </c>
    </row>
    <row r="51" spans="1:30" x14ac:dyDescent="0.25">
      <c r="A51" s="19" t="s">
        <v>11</v>
      </c>
      <c r="B51" s="22" t="s">
        <v>818</v>
      </c>
      <c r="C51" s="21">
        <v>5322312014</v>
      </c>
      <c r="D51" s="22" t="s">
        <v>15</v>
      </c>
      <c r="E51" s="19" t="str">
        <f>IFERROR(VLOOKUP(D51,Tanımlar!C:D,2,0),"- - -")</f>
        <v>PERAKENDE</v>
      </c>
      <c r="F51" s="19">
        <v>600617</v>
      </c>
      <c r="G51" s="19" t="str">
        <f>IFERROR(VLOOKUP(F51,'Personel Bilgi'!A:B,2,0),"- - - ")</f>
        <v>ELMAS  AKSOY</v>
      </c>
      <c r="H51" s="19" t="str">
        <f>IFERROR(VLOOKUP(F51,'Personel Bilgi'!A:D,3,0),"- - -")</f>
        <v xml:space="preserve">İNAN UMUT ÖRNEK </v>
      </c>
      <c r="I51" s="19" t="str">
        <f>IFERROR(VLOOKUP(F51,'Personel Bilgi'!A:D,4,0),"- - -")</f>
        <v>ANKARA</v>
      </c>
      <c r="J51" s="19" t="str">
        <f>IFERROR(VLOOKUP(F51,'Personel Bilgi'!A:E,5,0),"- - -")</f>
        <v>MÜŞTERİ TEMSİLCİSİ</v>
      </c>
      <c r="K51" s="21" t="s">
        <v>65</v>
      </c>
      <c r="L51" s="21" t="s">
        <v>97</v>
      </c>
      <c r="M51" s="21" t="s">
        <v>734</v>
      </c>
      <c r="N51" s="36">
        <v>45992</v>
      </c>
      <c r="O51" s="36">
        <v>45993</v>
      </c>
      <c r="P51" s="19" t="s">
        <v>81</v>
      </c>
      <c r="Q51" s="37" t="s">
        <v>735</v>
      </c>
      <c r="R51" s="21" t="s">
        <v>790</v>
      </c>
      <c r="S51" s="21" t="s">
        <v>92</v>
      </c>
      <c r="T51" s="21" t="s">
        <v>95</v>
      </c>
      <c r="U51" s="21">
        <v>100</v>
      </c>
      <c r="V51" s="21" t="s">
        <v>736</v>
      </c>
      <c r="W51" s="19">
        <v>600617</v>
      </c>
      <c r="X51" s="19" t="str">
        <f>IFERROR(VLOOKUP(W51,'Personel Bilgi'!A:B,2,0),"---")</f>
        <v>ELMAS  AKSOY</v>
      </c>
      <c r="Y51" s="19" t="str">
        <f>IFERROR(VLOOKUP(W51,'Personel Bilgi'!A:C,3,0),"---")</f>
        <v xml:space="preserve">İNAN UMUT ÖRNEK </v>
      </c>
      <c r="Z51" s="22" t="s">
        <v>95</v>
      </c>
      <c r="AA51" s="22" t="s">
        <v>617</v>
      </c>
      <c r="AB51" s="22" t="s">
        <v>65</v>
      </c>
      <c r="AC51" s="22" t="s">
        <v>97</v>
      </c>
      <c r="AD51" s="22" t="s">
        <v>734</v>
      </c>
    </row>
    <row r="52" spans="1:30" x14ac:dyDescent="0.25">
      <c r="A52" s="19" t="s">
        <v>11</v>
      </c>
      <c r="B52" s="22" t="s">
        <v>819</v>
      </c>
      <c r="C52" s="21">
        <v>5366152173</v>
      </c>
      <c r="D52" s="22" t="s">
        <v>15</v>
      </c>
      <c r="E52" s="19" t="str">
        <f>IFERROR(VLOOKUP(D52,Tanımlar!C:D,2,0),"- - -")</f>
        <v>PERAKENDE</v>
      </c>
      <c r="F52" s="19">
        <v>600625</v>
      </c>
      <c r="G52" s="19" t="str">
        <f>IFERROR(VLOOKUP(F52,'Personel Bilgi'!A:B,2,0),"- - - ")</f>
        <v>UMMUGULSUM DILARA UZUNDERE</v>
      </c>
      <c r="H52" s="19" t="str">
        <f>IFERROR(VLOOKUP(F52,'Personel Bilgi'!A:D,3,0),"- - -")</f>
        <v>FERHAT DEMIR</v>
      </c>
      <c r="I52" s="19" t="str">
        <f>IFERROR(VLOOKUP(F52,'Personel Bilgi'!A:D,4,0),"- - -")</f>
        <v>ANKARA</v>
      </c>
      <c r="J52" s="19" t="str">
        <f>IFERROR(VLOOKUP(F52,'Personel Bilgi'!A:E,5,0),"- - -")</f>
        <v>MÜŞTERİ TEMSİLCİSİ</v>
      </c>
      <c r="K52" s="21" t="s">
        <v>66</v>
      </c>
      <c r="L52" s="21" t="s">
        <v>97</v>
      </c>
      <c r="M52" s="21" t="s">
        <v>21</v>
      </c>
      <c r="N52" s="36">
        <v>45992</v>
      </c>
      <c r="O52" s="36">
        <v>45993</v>
      </c>
      <c r="P52" s="21" t="s">
        <v>1145</v>
      </c>
      <c r="Q52" s="37" t="s">
        <v>735</v>
      </c>
      <c r="R52" s="21" t="s">
        <v>790</v>
      </c>
      <c r="S52" s="21" t="s">
        <v>92</v>
      </c>
      <c r="T52" s="21" t="s">
        <v>94</v>
      </c>
      <c r="U52" s="21">
        <v>0</v>
      </c>
      <c r="V52" s="21" t="s">
        <v>736</v>
      </c>
      <c r="W52" s="21">
        <v>110716</v>
      </c>
      <c r="X52" s="19" t="str">
        <f>IFERROR(VLOOKUP(W52,'Personel Bilgi'!A:B,2,0),"---")</f>
        <v>SERDAR SENGUN</v>
      </c>
      <c r="Y52" s="19" t="str">
        <f>IFERROR(VLOOKUP(W52,'Personel Bilgi'!A:C,3,0),"---")</f>
        <v>MUSTAFA OZAYAG</v>
      </c>
      <c r="Z52" s="22" t="s">
        <v>94</v>
      </c>
      <c r="AA52" s="22" t="s">
        <v>616</v>
      </c>
      <c r="AB52" s="22" t="s">
        <v>66</v>
      </c>
      <c r="AC52" s="22" t="s">
        <v>97</v>
      </c>
      <c r="AD52" s="22" t="s">
        <v>21</v>
      </c>
    </row>
    <row r="53" spans="1:30" x14ac:dyDescent="0.25">
      <c r="A53" s="19" t="s">
        <v>11</v>
      </c>
      <c r="B53" s="20" t="s">
        <v>820</v>
      </c>
      <c r="C53" s="21">
        <v>5529281025</v>
      </c>
      <c r="D53" s="21" t="s">
        <v>14</v>
      </c>
      <c r="E53" s="19" t="str">
        <f>IFERROR(VLOOKUP(D53,Tanımlar!C:D,2,0),"- - -")</f>
        <v>DAĞITIM</v>
      </c>
      <c r="F53" s="19">
        <v>500070</v>
      </c>
      <c r="G53" s="19" t="str">
        <f>IFERROR(VLOOKUP(F53,'Personel Bilgi'!A:B,2,0),"- - - ")</f>
        <v>IREM NAZ OGUZ</v>
      </c>
      <c r="H53" s="19" t="str">
        <f>IFERROR(VLOOKUP(F53,'Personel Bilgi'!A:D,3,0),"- - -")</f>
        <v>SALTUK BUGRAHAN TAYMUS</v>
      </c>
      <c r="I53" s="19" t="str">
        <f>IFERROR(VLOOKUP(F53,'Personel Bilgi'!A:D,4,0),"- - -")</f>
        <v>ERZURUM</v>
      </c>
      <c r="J53" s="19" t="str">
        <f>IFERROR(VLOOKUP(F53,'Personel Bilgi'!A:E,5,0),"- - -")</f>
        <v>MÜŞTERİ TEMSİLCİSİ</v>
      </c>
      <c r="K53" s="21" t="s">
        <v>49</v>
      </c>
      <c r="L53" s="27" t="s">
        <v>97</v>
      </c>
      <c r="M53" s="21" t="s">
        <v>25</v>
      </c>
      <c r="N53" s="36">
        <v>45993</v>
      </c>
      <c r="O53" s="36">
        <v>45994</v>
      </c>
      <c r="P53" s="21" t="s">
        <v>1145</v>
      </c>
      <c r="Q53" s="37" t="s">
        <v>735</v>
      </c>
      <c r="R53" s="21" t="s">
        <v>790</v>
      </c>
      <c r="S53" s="21" t="s">
        <v>92</v>
      </c>
      <c r="T53" s="21" t="s">
        <v>94</v>
      </c>
      <c r="U53" s="21">
        <v>0</v>
      </c>
      <c r="V53" s="21" t="s">
        <v>736</v>
      </c>
      <c r="W53" s="21">
        <v>500112</v>
      </c>
      <c r="X53" s="19" t="str">
        <f>IFERROR(VLOOKUP(W53,'Personel Bilgi'!A:B,2,0),"---")</f>
        <v>RUMEYSA TOZLU</v>
      </c>
      <c r="Y53" s="19" t="str">
        <f>IFERROR(VLOOKUP(W53,'Personel Bilgi'!A:C,3,0),"---")</f>
        <v>METEHAN EMRE SIRMALI</v>
      </c>
      <c r="Z53" s="22" t="s">
        <v>95</v>
      </c>
      <c r="AA53" s="22" t="s">
        <v>617</v>
      </c>
      <c r="AB53" s="22" t="s">
        <v>49</v>
      </c>
      <c r="AC53" s="22" t="s">
        <v>97</v>
      </c>
      <c r="AD53" s="22" t="s">
        <v>25</v>
      </c>
    </row>
    <row r="54" spans="1:30" x14ac:dyDescent="0.25">
      <c r="A54" s="19" t="s">
        <v>11</v>
      </c>
      <c r="B54" s="20" t="s">
        <v>820</v>
      </c>
      <c r="C54" s="21">
        <v>5529281025</v>
      </c>
      <c r="D54" s="21" t="s">
        <v>14</v>
      </c>
      <c r="E54" s="19" t="str">
        <f>IFERROR(VLOOKUP(D54,Tanımlar!C:D,2,0),"- - -")</f>
        <v>DAĞITIM</v>
      </c>
      <c r="F54" s="19">
        <v>500065</v>
      </c>
      <c r="G54" s="19" t="str">
        <f>IFERROR(VLOOKUP(F54,'Personel Bilgi'!A:B,2,0),"- - - ")</f>
        <v>BATUHAN GULER</v>
      </c>
      <c r="H54" s="19" t="str">
        <f>IFERROR(VLOOKUP(F54,'Personel Bilgi'!A:D,3,0),"- - -")</f>
        <v>SALTUK BUGRAHAN TAYMUS</v>
      </c>
      <c r="I54" s="19" t="str">
        <f>IFERROR(VLOOKUP(F54,'Personel Bilgi'!A:D,4,0),"- - -")</f>
        <v>ERZURUM</v>
      </c>
      <c r="J54" s="19" t="str">
        <f>IFERROR(VLOOKUP(F54,'Personel Bilgi'!A:E,5,0),"- - -")</f>
        <v>MÜŞTERİ TEMSİLCİSİ</v>
      </c>
      <c r="K54" s="19" t="s">
        <v>49</v>
      </c>
      <c r="L54" s="19" t="s">
        <v>97</v>
      </c>
      <c r="M54" s="19" t="s">
        <v>25</v>
      </c>
      <c r="N54" s="36">
        <v>45993</v>
      </c>
      <c r="O54" s="36">
        <v>45994</v>
      </c>
      <c r="P54" s="21" t="s">
        <v>1145</v>
      </c>
      <c r="Q54" s="37" t="s">
        <v>735</v>
      </c>
      <c r="R54" s="21" t="s">
        <v>790</v>
      </c>
      <c r="S54" s="21" t="s">
        <v>92</v>
      </c>
      <c r="T54" s="21" t="s">
        <v>94</v>
      </c>
      <c r="U54" s="21">
        <v>0</v>
      </c>
      <c r="V54" s="21" t="s">
        <v>736</v>
      </c>
      <c r="W54" s="21">
        <v>500112</v>
      </c>
      <c r="X54" s="19" t="str">
        <f>IFERROR(VLOOKUP(W54,'Personel Bilgi'!A:B,2,0),"---")</f>
        <v>RUMEYSA TOZLU</v>
      </c>
      <c r="Y54" s="19" t="str">
        <f>IFERROR(VLOOKUP(W54,'Personel Bilgi'!A:C,3,0),"---")</f>
        <v>METEHAN EMRE SIRMALI</v>
      </c>
      <c r="Z54" s="22" t="s">
        <v>95</v>
      </c>
      <c r="AA54" s="22" t="s">
        <v>617</v>
      </c>
      <c r="AB54" s="22" t="s">
        <v>49</v>
      </c>
      <c r="AC54" s="22" t="s">
        <v>97</v>
      </c>
      <c r="AD54" s="22" t="s">
        <v>25</v>
      </c>
    </row>
    <row r="55" spans="1:30" x14ac:dyDescent="0.25">
      <c r="A55" s="19" t="s">
        <v>11</v>
      </c>
      <c r="B55" s="20" t="s">
        <v>820</v>
      </c>
      <c r="C55" s="21">
        <v>5529281025</v>
      </c>
      <c r="D55" s="21" t="s">
        <v>14</v>
      </c>
      <c r="E55" s="19" t="str">
        <f>IFERROR(VLOOKUP(D55,Tanımlar!C:D,2,0),"- - -")</f>
        <v>DAĞITIM</v>
      </c>
      <c r="F55" s="19">
        <v>500074</v>
      </c>
      <c r="G55" s="19" t="str">
        <f>IFERROR(VLOOKUP(F55,'Personel Bilgi'!A:B,2,0),"- - - ")</f>
        <v>ULVIYE ALPER</v>
      </c>
      <c r="H55" s="19" t="str">
        <f>IFERROR(VLOOKUP(F55,'Personel Bilgi'!A:D,3,0),"- - -")</f>
        <v>SALTUK BUGRAHAN TAYMUS</v>
      </c>
      <c r="I55" s="19" t="str">
        <f>IFERROR(VLOOKUP(F55,'Personel Bilgi'!A:D,4,0),"- - -")</f>
        <v>ERZURUM</v>
      </c>
      <c r="J55" s="19" t="str">
        <f>IFERROR(VLOOKUP(F55,'Personel Bilgi'!A:E,5,0),"- - -")</f>
        <v>MÜŞTERİ TEMSİLCİSİ</v>
      </c>
      <c r="K55" s="19" t="s">
        <v>49</v>
      </c>
      <c r="L55" s="19" t="s">
        <v>97</v>
      </c>
      <c r="M55" s="19" t="s">
        <v>25</v>
      </c>
      <c r="N55" s="36">
        <v>45993</v>
      </c>
      <c r="O55" s="36">
        <v>45994</v>
      </c>
      <c r="P55" s="21" t="s">
        <v>1145</v>
      </c>
      <c r="Q55" s="37" t="s">
        <v>735</v>
      </c>
      <c r="R55" s="21" t="s">
        <v>790</v>
      </c>
      <c r="S55" s="21" t="s">
        <v>92</v>
      </c>
      <c r="T55" s="21" t="s">
        <v>94</v>
      </c>
      <c r="U55" s="21">
        <v>0</v>
      </c>
      <c r="V55" s="21" t="s">
        <v>736</v>
      </c>
      <c r="W55" s="21">
        <v>500112</v>
      </c>
      <c r="X55" s="19" t="str">
        <f>IFERROR(VLOOKUP(W55,'Personel Bilgi'!A:B,2,0),"---")</f>
        <v>RUMEYSA TOZLU</v>
      </c>
      <c r="Y55" s="19" t="str">
        <f>IFERROR(VLOOKUP(W55,'Personel Bilgi'!A:C,3,0),"---")</f>
        <v>METEHAN EMRE SIRMALI</v>
      </c>
      <c r="Z55" s="22" t="s">
        <v>95</v>
      </c>
      <c r="AA55" s="22" t="s">
        <v>617</v>
      </c>
      <c r="AB55" s="22" t="s">
        <v>49</v>
      </c>
      <c r="AC55" s="22" t="s">
        <v>97</v>
      </c>
      <c r="AD55" s="22" t="s">
        <v>25</v>
      </c>
    </row>
    <row r="56" spans="1:30" x14ac:dyDescent="0.25">
      <c r="A56" s="19" t="s">
        <v>11</v>
      </c>
      <c r="B56" s="22" t="s">
        <v>821</v>
      </c>
      <c r="C56" s="21">
        <v>5415216605</v>
      </c>
      <c r="D56" s="21" t="s">
        <v>14</v>
      </c>
      <c r="E56" s="21" t="str">
        <f>IFERROR(VLOOKUP(D56,Tanımlar!C:D,2,0),"- - -")</f>
        <v>DAĞITIM</v>
      </c>
      <c r="F56" s="19">
        <v>500029</v>
      </c>
      <c r="G56" s="19" t="str">
        <f>IFERROR(VLOOKUP(F56,'Personel Bilgi'!A:B,2,0),"- - - ")</f>
        <v>OMER FARUK ERDEM</v>
      </c>
      <c r="H56" s="19" t="str">
        <f>IFERROR(VLOOKUP(F56,'Personel Bilgi'!A:D,3,0),"- - -")</f>
        <v>ERDOGAN DURUK</v>
      </c>
      <c r="I56" s="19" t="str">
        <f>IFERROR(VLOOKUP(F56,'Personel Bilgi'!A:D,4,0),"- - -")</f>
        <v>ERZURUM</v>
      </c>
      <c r="J56" s="19" t="str">
        <f>IFERROR(VLOOKUP(F56,'Personel Bilgi'!A:E,5,0),"- - -")</f>
        <v>MÜŞTERİ TEMSİLCİSİ</v>
      </c>
      <c r="K56" s="19" t="s">
        <v>49</v>
      </c>
      <c r="L56" s="19" t="s">
        <v>97</v>
      </c>
      <c r="M56" s="19" t="s">
        <v>22</v>
      </c>
      <c r="N56" s="36">
        <v>45993</v>
      </c>
      <c r="O56" s="36">
        <v>45994</v>
      </c>
      <c r="P56" s="19" t="s">
        <v>79</v>
      </c>
      <c r="Q56" s="37" t="s">
        <v>735</v>
      </c>
      <c r="R56" s="21" t="s">
        <v>790</v>
      </c>
      <c r="S56" s="21" t="s">
        <v>92</v>
      </c>
      <c r="T56" s="21" t="s">
        <v>94</v>
      </c>
      <c r="U56" s="21">
        <v>0</v>
      </c>
      <c r="V56" s="21" t="s">
        <v>736</v>
      </c>
      <c r="W56" s="21">
        <v>111240</v>
      </c>
      <c r="X56" s="19" t="str">
        <f>IFERROR(VLOOKUP(W56,'Personel Bilgi'!A:B,2,0),"---")</f>
        <v>BERAT KILICARSLAN</v>
      </c>
      <c r="Y56" s="19" t="str">
        <f>IFERROR(VLOOKUP(W56,'Personel Bilgi'!A:C,3,0),"---")</f>
        <v>YAPRAK KARAKOC</v>
      </c>
      <c r="Z56" s="22" t="s">
        <v>95</v>
      </c>
      <c r="AA56" s="22" t="s">
        <v>617</v>
      </c>
      <c r="AB56" s="22" t="s">
        <v>49</v>
      </c>
      <c r="AC56" s="22" t="s">
        <v>97</v>
      </c>
      <c r="AD56" s="22" t="s">
        <v>22</v>
      </c>
    </row>
    <row r="57" spans="1:30" x14ac:dyDescent="0.25">
      <c r="A57" s="19" t="s">
        <v>11</v>
      </c>
      <c r="B57" s="22" t="s">
        <v>822</v>
      </c>
      <c r="C57" s="21">
        <v>5541304662</v>
      </c>
      <c r="D57" s="21" t="s">
        <v>12</v>
      </c>
      <c r="E57" s="21" t="str">
        <f>IFERROR(VLOOKUP(D57,Tanımlar!C:D,2,0),"- - -")</f>
        <v>DAĞITIM</v>
      </c>
      <c r="F57" s="19">
        <v>600409</v>
      </c>
      <c r="G57" s="19" t="str">
        <f>IFERROR(VLOOKUP(F57,'Personel Bilgi'!A:B,2,0),"- - - ")</f>
        <v>OZNIL SENEFE</v>
      </c>
      <c r="H57" s="19" t="str">
        <f>IFERROR(VLOOKUP(F57,'Personel Bilgi'!A:D,3,0),"- - -")</f>
        <v xml:space="preserve">İNAN UMUT ÖRNEK </v>
      </c>
      <c r="I57" s="19" t="str">
        <f>IFERROR(VLOOKUP(F57,'Personel Bilgi'!A:D,4,0),"- - -")</f>
        <v>ANKARA</v>
      </c>
      <c r="J57" s="19" t="str">
        <f>IFERROR(VLOOKUP(F57,'Personel Bilgi'!A:E,5,0),"- - -")</f>
        <v>MÜŞTERİ TEMSİLCİSİ</v>
      </c>
      <c r="K57" s="19" t="s">
        <v>54</v>
      </c>
      <c r="L57" s="19" t="s">
        <v>96</v>
      </c>
      <c r="M57" s="19" t="s">
        <v>36</v>
      </c>
      <c r="N57" s="36">
        <v>45992</v>
      </c>
      <c r="O57" s="36">
        <v>45993</v>
      </c>
      <c r="P57" s="19" t="s">
        <v>81</v>
      </c>
      <c r="Q57" s="37" t="s">
        <v>735</v>
      </c>
      <c r="R57" s="21" t="s">
        <v>790</v>
      </c>
      <c r="S57" s="21" t="s">
        <v>92</v>
      </c>
      <c r="T57" s="21" t="s">
        <v>95</v>
      </c>
      <c r="U57" s="21">
        <v>80</v>
      </c>
      <c r="V57" s="21" t="s">
        <v>736</v>
      </c>
      <c r="W57" s="21">
        <v>111163</v>
      </c>
      <c r="X57" s="19" t="str">
        <f>IFERROR(VLOOKUP(W57,'Personel Bilgi'!A:B,2,0),"---")</f>
        <v>KEZBAN DEMIR</v>
      </c>
      <c r="Y57" s="19" t="str">
        <f>IFERROR(VLOOKUP(W57,'Personel Bilgi'!A:C,3,0),"---")</f>
        <v>YAREN OZAYAG</v>
      </c>
      <c r="Z57" s="22" t="s">
        <v>95</v>
      </c>
      <c r="AA57" s="22" t="s">
        <v>617</v>
      </c>
      <c r="AB57" s="22" t="s">
        <v>54</v>
      </c>
      <c r="AC57" s="22" t="s">
        <v>96</v>
      </c>
      <c r="AD57" s="22" t="s">
        <v>36</v>
      </c>
    </row>
    <row r="58" spans="1:30" x14ac:dyDescent="0.25">
      <c r="A58" s="19" t="s">
        <v>11</v>
      </c>
      <c r="B58" s="21" t="s">
        <v>823</v>
      </c>
      <c r="C58" s="21">
        <v>5397204906</v>
      </c>
      <c r="D58" s="21" t="s">
        <v>15</v>
      </c>
      <c r="E58" s="21" t="str">
        <f>IFERROR(VLOOKUP(D58,Tanımlar!C:D,2,0),"- - -")</f>
        <v>PERAKENDE</v>
      </c>
      <c r="F58" s="19">
        <v>110799</v>
      </c>
      <c r="G58" s="19" t="str">
        <f>IFERROR(VLOOKUP(F58,'Personel Bilgi'!A:B,2,0),"- - - ")</f>
        <v>SERKAN CURKA</v>
      </c>
      <c r="H58" s="19" t="str">
        <f>IFERROR(VLOOKUP(F58,'Personel Bilgi'!A:D,3,0),"- - -")</f>
        <v>MUSTAFA OZAYAG</v>
      </c>
      <c r="I58" s="19" t="str">
        <f>IFERROR(VLOOKUP(F58,'Personel Bilgi'!A:D,4,0),"- - -")</f>
        <v>KARS</v>
      </c>
      <c r="J58" s="19" t="str">
        <f>IFERROR(VLOOKUP(F58,'Personel Bilgi'!A:E,5,0),"- - -")</f>
        <v>MÜŞTERİ TEMSİLCİSİ</v>
      </c>
      <c r="K58" s="19" t="s">
        <v>65</v>
      </c>
      <c r="L58" s="19" t="s">
        <v>97</v>
      </c>
      <c r="M58" s="19" t="s">
        <v>734</v>
      </c>
      <c r="N58" s="36">
        <v>45999</v>
      </c>
      <c r="O58" s="36">
        <v>46001</v>
      </c>
      <c r="P58" s="21" t="s">
        <v>1145</v>
      </c>
      <c r="Q58" s="37" t="s">
        <v>735</v>
      </c>
      <c r="R58" s="19" t="s">
        <v>86</v>
      </c>
      <c r="S58" s="21" t="s">
        <v>92</v>
      </c>
      <c r="T58" s="21" t="s">
        <v>94</v>
      </c>
      <c r="U58" s="21">
        <v>0</v>
      </c>
      <c r="V58" s="21" t="s">
        <v>736</v>
      </c>
      <c r="W58" s="21">
        <v>111120</v>
      </c>
      <c r="X58" s="19" t="str">
        <f>IFERROR(VLOOKUP(W58,'Personel Bilgi'!A:B,2,0),"---")</f>
        <v>HAVVA AYDIN</v>
      </c>
      <c r="Y58" s="19" t="str">
        <f>IFERROR(VLOOKUP(W58,'Personel Bilgi'!A:C,3,0),"---")</f>
        <v>MUHAMMET AKSU</v>
      </c>
      <c r="Z58" s="22" t="s">
        <v>95</v>
      </c>
      <c r="AA58" s="22" t="s">
        <v>617</v>
      </c>
      <c r="AB58" s="22" t="s">
        <v>65</v>
      </c>
      <c r="AC58" s="22" t="s">
        <v>97</v>
      </c>
      <c r="AD58" s="22" t="s">
        <v>734</v>
      </c>
    </row>
    <row r="59" spans="1:30" x14ac:dyDescent="0.25">
      <c r="A59" s="19" t="s">
        <v>11</v>
      </c>
      <c r="B59" s="21" t="s">
        <v>824</v>
      </c>
      <c r="C59" s="21">
        <v>5431252419</v>
      </c>
      <c r="D59" s="21" t="s">
        <v>15</v>
      </c>
      <c r="E59" s="21" t="str">
        <f>IFERROR(VLOOKUP(D59,Tanımlar!C:D,2,0),"- - -")</f>
        <v>PERAKENDE</v>
      </c>
      <c r="F59" s="19">
        <v>600598</v>
      </c>
      <c r="G59" s="19" t="str">
        <f>IFERROR(VLOOKUP(F59,'Personel Bilgi'!A:B,2,0),"- - - ")</f>
        <v>ALI ATALAY SIRIN</v>
      </c>
      <c r="H59" s="19" t="str">
        <f>IFERROR(VLOOKUP(F59,'Personel Bilgi'!A:D,3,0),"- - -")</f>
        <v>FERHAT DEMIR</v>
      </c>
      <c r="I59" s="19" t="str">
        <f>IFERROR(VLOOKUP(F59,'Personel Bilgi'!A:D,4,0),"- - -")</f>
        <v>ANKARA</v>
      </c>
      <c r="J59" s="19" t="str">
        <f>IFERROR(VLOOKUP(F59,'Personel Bilgi'!A:E,5,0),"- - -")</f>
        <v>MÜŞTERİ TEMSİLCİSİ</v>
      </c>
      <c r="K59" s="19" t="s">
        <v>65</v>
      </c>
      <c r="L59" s="19" t="s">
        <v>96</v>
      </c>
      <c r="M59" s="19" t="s">
        <v>35</v>
      </c>
      <c r="N59" s="36">
        <v>45995</v>
      </c>
      <c r="O59" s="36">
        <v>46001</v>
      </c>
      <c r="P59" s="19" t="s">
        <v>79</v>
      </c>
      <c r="Q59" s="37" t="s">
        <v>735</v>
      </c>
      <c r="R59" s="19" t="s">
        <v>86</v>
      </c>
      <c r="S59" s="21" t="s">
        <v>92</v>
      </c>
      <c r="T59" s="21" t="s">
        <v>94</v>
      </c>
      <c r="U59" s="21">
        <v>0</v>
      </c>
      <c r="V59" s="21" t="s">
        <v>736</v>
      </c>
      <c r="W59" s="21">
        <v>111121</v>
      </c>
      <c r="X59" s="19" t="str">
        <f>IFERROR(VLOOKUP(W59,'Personel Bilgi'!A:B,2,0),"---")</f>
        <v>BURAK TIKICIERI</v>
      </c>
      <c r="Y59" s="19" t="str">
        <f>IFERROR(VLOOKUP(W59,'Personel Bilgi'!A:C,3,0),"---")</f>
        <v>YAPRAK KARAKOC</v>
      </c>
      <c r="Z59" s="22" t="s">
        <v>95</v>
      </c>
      <c r="AA59" s="22" t="s">
        <v>617</v>
      </c>
      <c r="AB59" s="22" t="s">
        <v>65</v>
      </c>
      <c r="AC59" s="22" t="s">
        <v>96</v>
      </c>
      <c r="AD59" s="22" t="s">
        <v>35</v>
      </c>
    </row>
    <row r="60" spans="1:30" x14ac:dyDescent="0.25">
      <c r="A60" s="19" t="s">
        <v>11</v>
      </c>
      <c r="B60" s="21" t="s">
        <v>825</v>
      </c>
      <c r="C60" s="21">
        <v>5318593491</v>
      </c>
      <c r="D60" s="21" t="s">
        <v>15</v>
      </c>
      <c r="E60" s="21" t="str">
        <f>IFERROR(VLOOKUP(D60,Tanımlar!C:D,2,0),"- - -")</f>
        <v>PERAKENDE</v>
      </c>
      <c r="F60" s="19">
        <v>600609</v>
      </c>
      <c r="G60" s="19" t="str">
        <f>IFERROR(VLOOKUP(F60,'Personel Bilgi'!A:B,2,0),"- - - ")</f>
        <v>UMMUHAN SINEM BULUT</v>
      </c>
      <c r="H60" s="19" t="str">
        <f>IFERROR(VLOOKUP(F60,'Personel Bilgi'!A:D,3,0),"- - -")</f>
        <v>BUSRA OLCULMUS</v>
      </c>
      <c r="I60" s="19" t="str">
        <f>IFERROR(VLOOKUP(F60,'Personel Bilgi'!A:D,4,0),"- - -")</f>
        <v>ANKARA</v>
      </c>
      <c r="J60" s="19" t="str">
        <f>IFERROR(VLOOKUP(F60,'Personel Bilgi'!A:E,5,0),"- - -")</f>
        <v>MÜŞTERİ TEMSİLCİSİ</v>
      </c>
      <c r="K60" s="19" t="s">
        <v>65</v>
      </c>
      <c r="L60" s="21" t="s">
        <v>97</v>
      </c>
      <c r="M60" s="21" t="s">
        <v>734</v>
      </c>
      <c r="N60" s="36">
        <v>45999</v>
      </c>
      <c r="O60" s="36">
        <v>46001</v>
      </c>
      <c r="P60" s="19" t="s">
        <v>81</v>
      </c>
      <c r="Q60" s="37" t="s">
        <v>735</v>
      </c>
      <c r="R60" s="19" t="s">
        <v>86</v>
      </c>
      <c r="S60" s="21" t="s">
        <v>92</v>
      </c>
      <c r="T60" s="21" t="s">
        <v>94</v>
      </c>
      <c r="U60" s="21">
        <v>0</v>
      </c>
      <c r="V60" s="21" t="s">
        <v>736</v>
      </c>
      <c r="W60" s="21">
        <v>600609</v>
      </c>
      <c r="X60" s="19" t="str">
        <f>IFERROR(VLOOKUP(W60,'Personel Bilgi'!A:B,2,0),"---")</f>
        <v>UMMUHAN SINEM BULUT</v>
      </c>
      <c r="Y60" s="19" t="str">
        <f>IFERROR(VLOOKUP(W60,'Personel Bilgi'!A:C,3,0),"---")</f>
        <v>BUSRA OLCULMUS</v>
      </c>
      <c r="Z60" s="19" t="s">
        <v>94</v>
      </c>
      <c r="AA60" s="35" t="s">
        <v>616</v>
      </c>
      <c r="AB60" s="35" t="s">
        <v>65</v>
      </c>
      <c r="AC60" s="35" t="s">
        <v>97</v>
      </c>
      <c r="AD60" s="35" t="s">
        <v>734</v>
      </c>
    </row>
    <row r="61" spans="1:30" x14ac:dyDescent="0.25">
      <c r="A61" s="19" t="s">
        <v>11</v>
      </c>
      <c r="B61" s="21" t="s">
        <v>826</v>
      </c>
      <c r="C61" s="21">
        <v>5052685333</v>
      </c>
      <c r="D61" s="21" t="s">
        <v>15</v>
      </c>
      <c r="E61" s="21" t="str">
        <f>IFERROR(VLOOKUP(D61,Tanımlar!C:D,2,0),"- - -")</f>
        <v>PERAKENDE</v>
      </c>
      <c r="F61" s="19">
        <v>600607</v>
      </c>
      <c r="G61" s="19" t="str">
        <f>IFERROR(VLOOKUP(F61,'Personel Bilgi'!A:B,2,0),"- - - ")</f>
        <v>RABIA BACAK</v>
      </c>
      <c r="H61" s="19" t="str">
        <f>IFERROR(VLOOKUP(F61,'Personel Bilgi'!A:D,3,0),"- - -")</f>
        <v>ASYA DAG</v>
      </c>
      <c r="I61" s="19" t="str">
        <f>IFERROR(VLOOKUP(F61,'Personel Bilgi'!A:D,4,0),"- - -")</f>
        <v>ANKARA</v>
      </c>
      <c r="J61" s="19" t="str">
        <f>IFERROR(VLOOKUP(F61,'Personel Bilgi'!A:E,5,0),"- - -")</f>
        <v>MÜŞTERİ TEMSİLCİSİ</v>
      </c>
      <c r="K61" s="19" t="s">
        <v>65</v>
      </c>
      <c r="L61" s="21" t="s">
        <v>97</v>
      </c>
      <c r="M61" s="21" t="s">
        <v>734</v>
      </c>
      <c r="N61" s="36">
        <v>46000</v>
      </c>
      <c r="O61" s="36">
        <v>46001</v>
      </c>
      <c r="P61" s="19" t="s">
        <v>81</v>
      </c>
      <c r="Q61" s="37" t="s">
        <v>735</v>
      </c>
      <c r="R61" s="19" t="s">
        <v>86</v>
      </c>
      <c r="S61" s="21" t="s">
        <v>92</v>
      </c>
      <c r="T61" s="21" t="s">
        <v>94</v>
      </c>
      <c r="U61" s="21">
        <v>0</v>
      </c>
      <c r="V61" s="21" t="s">
        <v>736</v>
      </c>
      <c r="W61" s="21">
        <v>111031</v>
      </c>
      <c r="X61" s="19" t="str">
        <f>IFERROR(VLOOKUP(W61,'Personel Bilgi'!A:B,2,0),"---")</f>
        <v>MUHAMMED EREN KAYA</v>
      </c>
      <c r="Y61" s="19" t="str">
        <f>IFERROR(VLOOKUP(W61,'Personel Bilgi'!A:C,3,0),"---")</f>
        <v>YAREN OZAYAG</v>
      </c>
      <c r="Z61" s="22" t="s">
        <v>94</v>
      </c>
      <c r="AA61" s="22" t="s">
        <v>615</v>
      </c>
      <c r="AB61" s="22" t="s">
        <v>65</v>
      </c>
      <c r="AC61" s="22" t="s">
        <v>97</v>
      </c>
      <c r="AD61" s="22" t="s">
        <v>734</v>
      </c>
    </row>
    <row r="62" spans="1:30" x14ac:dyDescent="0.25">
      <c r="A62" s="19" t="s">
        <v>11</v>
      </c>
      <c r="B62" s="21" t="s">
        <v>827</v>
      </c>
      <c r="C62" s="21">
        <v>5366563435</v>
      </c>
      <c r="D62" s="21" t="s">
        <v>15</v>
      </c>
      <c r="E62" s="21" t="str">
        <f>IFERROR(VLOOKUP(D62,Tanımlar!C:D,2,0),"- - -")</f>
        <v>PERAKENDE</v>
      </c>
      <c r="F62" s="19">
        <v>111272</v>
      </c>
      <c r="G62" s="19" t="str">
        <f>IFERROR(VLOOKUP(F62,'Personel Bilgi'!A:B,2,0),"- - - ")</f>
        <v>RIDVAN GUNES</v>
      </c>
      <c r="H62" s="19" t="str">
        <f>IFERROR(VLOOKUP(F62,'Personel Bilgi'!A:D,3,0),"- - -")</f>
        <v>YAPRAK KARAKOC</v>
      </c>
      <c r="I62" s="19" t="str">
        <f>IFERROR(VLOOKUP(F62,'Personel Bilgi'!A:D,4,0),"- - -")</f>
        <v>KARS</v>
      </c>
      <c r="J62" s="19" t="str">
        <f>IFERROR(VLOOKUP(F62,'Personel Bilgi'!A:E,5,0),"- - -")</f>
        <v>MÜŞTERİ TEMSİLCİSİ</v>
      </c>
      <c r="K62" s="19" t="s">
        <v>65</v>
      </c>
      <c r="L62" s="21" t="s">
        <v>97</v>
      </c>
      <c r="M62" s="21" t="s">
        <v>24</v>
      </c>
      <c r="N62" s="36">
        <v>46000</v>
      </c>
      <c r="O62" s="36">
        <v>46001</v>
      </c>
      <c r="P62" s="19" t="s">
        <v>79</v>
      </c>
      <c r="Q62" s="37" t="s">
        <v>735</v>
      </c>
      <c r="R62" s="19" t="s">
        <v>86</v>
      </c>
      <c r="S62" s="21" t="s">
        <v>92</v>
      </c>
      <c r="T62" s="21" t="s">
        <v>94</v>
      </c>
      <c r="U62" s="21">
        <v>0</v>
      </c>
      <c r="V62" s="21" t="s">
        <v>736</v>
      </c>
      <c r="W62" s="21">
        <v>600604</v>
      </c>
      <c r="X62" s="19" t="str">
        <f>IFERROR(VLOOKUP(W62,'Personel Bilgi'!A:B,2,0),"---")</f>
        <v>IPEK SERIFE ALTAY</v>
      </c>
      <c r="Y62" s="19" t="str">
        <f>IFERROR(VLOOKUP(W62,'Personel Bilgi'!A:C,3,0),"---")</f>
        <v xml:space="preserve">İNAN UMUT ÖRNEK </v>
      </c>
      <c r="Z62" s="22" t="s">
        <v>94</v>
      </c>
      <c r="AA62" s="22" t="s">
        <v>615</v>
      </c>
      <c r="AB62" s="22" t="s">
        <v>65</v>
      </c>
      <c r="AC62" s="22" t="s">
        <v>97</v>
      </c>
      <c r="AD62" s="22" t="s">
        <v>24</v>
      </c>
    </row>
    <row r="63" spans="1:30" x14ac:dyDescent="0.25">
      <c r="A63" s="19" t="s">
        <v>11</v>
      </c>
      <c r="B63" s="21" t="s">
        <v>828</v>
      </c>
      <c r="C63" s="21">
        <v>5374146253</v>
      </c>
      <c r="D63" s="21" t="s">
        <v>12</v>
      </c>
      <c r="E63" s="21" t="str">
        <f>IFERROR(VLOOKUP(D63,Tanımlar!C:D,2,0),"- - -")</f>
        <v>DAĞITIM</v>
      </c>
      <c r="F63" s="19">
        <v>111249</v>
      </c>
      <c r="G63" s="19" t="str">
        <f>IFERROR(VLOOKUP(F63,'Personel Bilgi'!A:B,2,0),"- - - ")</f>
        <v>EYUPHAN ATAS</v>
      </c>
      <c r="H63" s="19" t="str">
        <f>IFERROR(VLOOKUP(F63,'Personel Bilgi'!A:D,3,0),"- - -")</f>
        <v>SEDA SEBU</v>
      </c>
      <c r="I63" s="19" t="str">
        <f>IFERROR(VLOOKUP(F63,'Personel Bilgi'!A:D,4,0),"- - -")</f>
        <v>KARS</v>
      </c>
      <c r="J63" s="19" t="str">
        <f>IFERROR(VLOOKUP(F63,'Personel Bilgi'!A:E,5,0),"- - -")</f>
        <v>MÜŞTERİ TEMSİLCİSİ</v>
      </c>
      <c r="K63" s="19" t="s">
        <v>64</v>
      </c>
      <c r="L63" s="19" t="s">
        <v>41</v>
      </c>
      <c r="M63" s="19" t="s">
        <v>44</v>
      </c>
      <c r="N63" s="36">
        <v>46001</v>
      </c>
      <c r="O63" s="36">
        <v>46001</v>
      </c>
      <c r="P63" s="19" t="s">
        <v>81</v>
      </c>
      <c r="Q63" s="37" t="s">
        <v>735</v>
      </c>
      <c r="R63" s="19" t="s">
        <v>86</v>
      </c>
      <c r="S63" s="21" t="s">
        <v>93</v>
      </c>
      <c r="T63" s="21" t="s">
        <v>95</v>
      </c>
      <c r="U63" s="21" t="s">
        <v>735</v>
      </c>
      <c r="V63" s="21" t="s">
        <v>736</v>
      </c>
      <c r="W63" s="21">
        <v>500132</v>
      </c>
      <c r="X63" s="19" t="str">
        <f>IFERROR(VLOOKUP(W63,'Personel Bilgi'!A:B,2,0),"---")</f>
        <v>SONGUL BEKCI</v>
      </c>
      <c r="Y63" s="19" t="str">
        <f>IFERROR(VLOOKUP(W63,'Personel Bilgi'!A:C,3,0),"---")</f>
        <v>TURGUT AKDAG</v>
      </c>
      <c r="Z63" s="22" t="s">
        <v>95</v>
      </c>
      <c r="AA63" s="22" t="s">
        <v>617</v>
      </c>
      <c r="AB63" s="22" t="s">
        <v>64</v>
      </c>
      <c r="AC63" s="22" t="s">
        <v>41</v>
      </c>
      <c r="AD63" s="22" t="s">
        <v>44</v>
      </c>
    </row>
    <row r="64" spans="1:30" x14ac:dyDescent="0.25">
      <c r="A64" s="19" t="s">
        <v>11</v>
      </c>
      <c r="B64" s="21" t="s">
        <v>829</v>
      </c>
      <c r="C64" s="21">
        <v>5014801605</v>
      </c>
      <c r="D64" s="21" t="s">
        <v>15</v>
      </c>
      <c r="E64" s="21" t="str">
        <f>IFERROR(VLOOKUP(D64,Tanımlar!C:D,2,0),"- - -")</f>
        <v>PERAKENDE</v>
      </c>
      <c r="F64" s="19">
        <v>600797</v>
      </c>
      <c r="G64" s="19" t="str">
        <f>IFERROR(VLOOKUP(F64,'Personel Bilgi'!A:B,2,0),"- - - ")</f>
        <v>SENA NUR KOCABAY</v>
      </c>
      <c r="H64" s="19" t="str">
        <f>IFERROR(VLOOKUP(F64,'Personel Bilgi'!A:D,3,0),"- - -")</f>
        <v>GORKEM SERT</v>
      </c>
      <c r="I64" s="19" t="str">
        <f>IFERROR(VLOOKUP(F64,'Personel Bilgi'!A:D,4,0),"- - -")</f>
        <v>ANKARA</v>
      </c>
      <c r="J64" s="19" t="str">
        <f>IFERROR(VLOOKUP(F64,'Personel Bilgi'!A:E,5,0),"- - -")</f>
        <v>MÜŞTERİ TEMSİLCİSİ</v>
      </c>
      <c r="K64" s="19" t="s">
        <v>66</v>
      </c>
      <c r="L64" s="19" t="s">
        <v>96</v>
      </c>
      <c r="M64" s="19" t="s">
        <v>28</v>
      </c>
      <c r="N64" s="36">
        <v>46000</v>
      </c>
      <c r="O64" s="36">
        <v>46002</v>
      </c>
      <c r="P64" s="21" t="s">
        <v>1145</v>
      </c>
      <c r="Q64" s="37" t="s">
        <v>735</v>
      </c>
      <c r="R64" s="19" t="s">
        <v>86</v>
      </c>
      <c r="S64" s="21" t="s">
        <v>92</v>
      </c>
      <c r="T64" s="21" t="s">
        <v>95</v>
      </c>
      <c r="U64" s="21">
        <v>40</v>
      </c>
      <c r="V64" s="21" t="s">
        <v>736</v>
      </c>
      <c r="W64" s="21">
        <v>600726</v>
      </c>
      <c r="X64" s="19" t="str">
        <f>IFERROR(VLOOKUP(W64,'Personel Bilgi'!A:B,2,0),"---")</f>
        <v>MELEK SUDE YANAR</v>
      </c>
      <c r="Y64" s="19" t="str">
        <f>IFERROR(VLOOKUP(W64,'Personel Bilgi'!A:C,3,0),"---")</f>
        <v>ASYA DAG</v>
      </c>
      <c r="Z64" s="22" t="s">
        <v>94</v>
      </c>
      <c r="AA64" s="22" t="s">
        <v>615</v>
      </c>
      <c r="AB64" s="22" t="s">
        <v>66</v>
      </c>
      <c r="AC64" s="22" t="s">
        <v>96</v>
      </c>
      <c r="AD64" s="22" t="s">
        <v>28</v>
      </c>
    </row>
    <row r="65" spans="1:31" x14ac:dyDescent="0.25">
      <c r="A65" s="19" t="s">
        <v>11</v>
      </c>
      <c r="B65" s="21" t="s">
        <v>830</v>
      </c>
      <c r="C65" s="21">
        <v>5469110118</v>
      </c>
      <c r="D65" s="21" t="s">
        <v>16</v>
      </c>
      <c r="E65" s="21" t="str">
        <f>IFERROR(VLOOKUP(D65,Tanımlar!C:D,2,0),"- - -")</f>
        <v>DAĞITIM</v>
      </c>
      <c r="F65" s="19">
        <v>999999</v>
      </c>
      <c r="G65" s="19" t="str">
        <f>IFERROR(VLOOKUP(F65,'Personel Bilgi'!A:B,2,0),"- - - ")</f>
        <v>GENEL TEŞEKKÜR</v>
      </c>
      <c r="H65" s="19" t="str">
        <f>IFERROR(VLOOKUP(F65,'Personel Bilgi'!A:D,3,0),"- - -")</f>
        <v>GENEL TEŞEKKÜR</v>
      </c>
      <c r="I65" s="19" t="str">
        <f>IFERROR(VLOOKUP(F65,'Personel Bilgi'!A:D,4,0),"- - -")</f>
        <v>GENEL TEŞEKKÜR</v>
      </c>
      <c r="J65" s="19" t="str">
        <f>IFERROR(VLOOKUP(F65,'Personel Bilgi'!A:E,5,0),"- - -")</f>
        <v>GENEL TEŞEKKÜR</v>
      </c>
      <c r="K65" s="19" t="s">
        <v>50</v>
      </c>
      <c r="L65" s="19" t="s">
        <v>47</v>
      </c>
      <c r="M65" s="19" t="s">
        <v>605</v>
      </c>
      <c r="N65" s="36">
        <v>46001</v>
      </c>
      <c r="O65" s="36">
        <v>46002</v>
      </c>
      <c r="P65" s="19" t="s">
        <v>80</v>
      </c>
      <c r="Q65" s="37" t="s">
        <v>735</v>
      </c>
      <c r="R65" s="19" t="s">
        <v>86</v>
      </c>
      <c r="S65" s="21" t="s">
        <v>93</v>
      </c>
      <c r="T65" s="21" t="s">
        <v>95</v>
      </c>
      <c r="U65" s="21" t="s">
        <v>735</v>
      </c>
      <c r="V65" s="21" t="s">
        <v>736</v>
      </c>
      <c r="W65" s="21">
        <v>110463</v>
      </c>
      <c r="X65" s="19" t="str">
        <f>IFERROR(VLOOKUP(W65,'Personel Bilgi'!A:B,2,0),"---")</f>
        <v>MUHAMMET ACAY</v>
      </c>
      <c r="Y65" s="19" t="str">
        <f>IFERROR(VLOOKUP(W65,'Personel Bilgi'!A:C,3,0),"---")</f>
        <v>SEDA SEBU</v>
      </c>
      <c r="Z65" s="19" t="s">
        <v>94</v>
      </c>
      <c r="AA65" s="22" t="s">
        <v>616</v>
      </c>
      <c r="AB65" s="22" t="s">
        <v>50</v>
      </c>
      <c r="AC65" s="22" t="s">
        <v>47</v>
      </c>
      <c r="AD65" s="22" t="s">
        <v>605</v>
      </c>
    </row>
    <row r="66" spans="1:31" x14ac:dyDescent="0.25">
      <c r="A66" s="19" t="s">
        <v>11</v>
      </c>
      <c r="B66" s="21" t="s">
        <v>833</v>
      </c>
      <c r="C66" s="21">
        <v>5325835074</v>
      </c>
      <c r="D66" s="21" t="s">
        <v>14</v>
      </c>
      <c r="E66" s="21" t="str">
        <f>IFERROR(VLOOKUP(D66,Tanımlar!C:D,2,0),"- - -")</f>
        <v>DAĞITIM</v>
      </c>
      <c r="F66" s="19">
        <v>999999</v>
      </c>
      <c r="G66" s="19" t="str">
        <f>IFERROR(VLOOKUP(F66,'Personel Bilgi'!A:B,2,0),"- - - ")</f>
        <v>GENEL TEŞEKKÜR</v>
      </c>
      <c r="H66" s="19" t="str">
        <f>IFERROR(VLOOKUP(F66,'Personel Bilgi'!A:D,3,0),"- - -")</f>
        <v>GENEL TEŞEKKÜR</v>
      </c>
      <c r="I66" s="19" t="str">
        <f>IFERROR(VLOOKUP(F66,'Personel Bilgi'!A:D,4,0),"- - -")</f>
        <v>GENEL TEŞEKKÜR</v>
      </c>
      <c r="J66" s="19" t="str">
        <f>IFERROR(VLOOKUP(F66,'Personel Bilgi'!A:E,5,0),"- - -")</f>
        <v>GENEL TEŞEKKÜR</v>
      </c>
      <c r="K66" s="19" t="s">
        <v>49</v>
      </c>
      <c r="L66" s="19" t="s">
        <v>47</v>
      </c>
      <c r="M66" s="19" t="s">
        <v>605</v>
      </c>
      <c r="N66" s="36">
        <v>46001</v>
      </c>
      <c r="O66" s="36">
        <v>46002</v>
      </c>
      <c r="P66" s="19" t="s">
        <v>80</v>
      </c>
      <c r="Q66" s="37" t="s">
        <v>735</v>
      </c>
      <c r="R66" s="19" t="s">
        <v>86</v>
      </c>
      <c r="S66" s="21" t="s">
        <v>93</v>
      </c>
      <c r="T66" s="21" t="s">
        <v>95</v>
      </c>
      <c r="U66" s="21" t="s">
        <v>735</v>
      </c>
      <c r="V66" s="21" t="s">
        <v>736</v>
      </c>
      <c r="W66" s="21">
        <v>500079</v>
      </c>
      <c r="X66" s="19" t="str">
        <f>IFERROR(VLOOKUP(W66,'Personel Bilgi'!A:B,2,0),"---")</f>
        <v>BURÇIN ARICI</v>
      </c>
      <c r="Y66" s="19" t="str">
        <f>IFERROR(VLOOKUP(W66,'Personel Bilgi'!A:C,3,0),"---")</f>
        <v>SALTUK BUGRAHAN TAYMUS</v>
      </c>
      <c r="Z66" s="19" t="s">
        <v>94</v>
      </c>
      <c r="AA66" s="22" t="s">
        <v>616</v>
      </c>
      <c r="AB66" s="22" t="s">
        <v>49</v>
      </c>
      <c r="AC66" s="22" t="s">
        <v>47</v>
      </c>
      <c r="AD66" s="22" t="s">
        <v>605</v>
      </c>
    </row>
    <row r="67" spans="1:31" x14ac:dyDescent="0.25">
      <c r="A67" s="19" t="s">
        <v>11</v>
      </c>
      <c r="B67" s="21" t="s">
        <v>834</v>
      </c>
      <c r="C67" s="21">
        <v>5446240552</v>
      </c>
      <c r="D67" s="21" t="s">
        <v>16</v>
      </c>
      <c r="E67" s="21" t="str">
        <f>IFERROR(VLOOKUP(D67,Tanımlar!C:D,2,0),"- - -")</f>
        <v>DAĞITIM</v>
      </c>
      <c r="F67" s="19">
        <v>210376</v>
      </c>
      <c r="G67" s="19" t="str">
        <f>IFERROR(VLOOKUP(F67,'Personel Bilgi'!A:B,2,0),"- - - ")</f>
        <v>DIDEM AZIRKAN</v>
      </c>
      <c r="H67" s="19" t="str">
        <f>IFERROR(VLOOKUP(F67,'Personel Bilgi'!A:D,3,0),"- - -")</f>
        <v>CEYHAN AYRIC</v>
      </c>
      <c r="I67" s="19" t="str">
        <f>IFERROR(VLOOKUP(F67,'Personel Bilgi'!A:D,4,0),"- - -")</f>
        <v>KARS</v>
      </c>
      <c r="J67" s="19" t="str">
        <f>IFERROR(VLOOKUP(F67,'Personel Bilgi'!A:E,5,0),"- - -")</f>
        <v>MÜŞTERİ TEMSİLCİSİ</v>
      </c>
      <c r="K67" s="19" t="s">
        <v>49</v>
      </c>
      <c r="L67" s="19" t="s">
        <v>97</v>
      </c>
      <c r="M67" s="21" t="s">
        <v>734</v>
      </c>
      <c r="N67" s="36">
        <v>46002</v>
      </c>
      <c r="O67" s="36">
        <v>46002</v>
      </c>
      <c r="P67" s="19" t="s">
        <v>81</v>
      </c>
      <c r="Q67" s="37" t="s">
        <v>735</v>
      </c>
      <c r="R67" s="19" t="s">
        <v>86</v>
      </c>
      <c r="S67" s="21" t="s">
        <v>92</v>
      </c>
      <c r="T67" s="21" t="s">
        <v>95</v>
      </c>
      <c r="U67" s="21">
        <v>86</v>
      </c>
      <c r="V67" s="21" t="s">
        <v>736</v>
      </c>
      <c r="W67" s="21">
        <v>500079</v>
      </c>
      <c r="X67" s="19" t="str">
        <f>IFERROR(VLOOKUP(W67,'Personel Bilgi'!A:B,2,0),"---")</f>
        <v>BURÇIN ARICI</v>
      </c>
      <c r="Y67" s="19" t="str">
        <f>IFERROR(VLOOKUP(W67,'Personel Bilgi'!A:C,3,0),"---")</f>
        <v>SALTUK BUGRAHAN TAYMUS</v>
      </c>
      <c r="Z67" s="19" t="s">
        <v>94</v>
      </c>
      <c r="AA67" s="22" t="s">
        <v>616</v>
      </c>
      <c r="AB67" s="22" t="s">
        <v>49</v>
      </c>
      <c r="AC67" s="22" t="s">
        <v>97</v>
      </c>
      <c r="AD67" s="22" t="s">
        <v>734</v>
      </c>
    </row>
    <row r="68" spans="1:31" x14ac:dyDescent="0.25">
      <c r="A68" s="19" t="s">
        <v>10</v>
      </c>
      <c r="B68" s="21" t="s">
        <v>835</v>
      </c>
      <c r="C68" s="21">
        <v>5397232510</v>
      </c>
      <c r="D68" s="21" t="s">
        <v>15</v>
      </c>
      <c r="E68" s="21" t="str">
        <f>IFERROR(VLOOKUP(D68,Tanımlar!C:D,2,0),"- - -")</f>
        <v>PERAKENDE</v>
      </c>
      <c r="F68" s="27">
        <v>600618</v>
      </c>
      <c r="G68" s="19" t="str">
        <f>IFERROR(VLOOKUP(F68,'Personel Bilgi'!A:B,2,0),"- - - ")</f>
        <v>ENES ALI SATIR</v>
      </c>
      <c r="H68" s="19" t="str">
        <f>IFERROR(VLOOKUP(F68,'Personel Bilgi'!A:D,3,0),"- - -")</f>
        <v>FERHAT DEMIR</v>
      </c>
      <c r="I68" s="19" t="str">
        <f>IFERROR(VLOOKUP(F68,'Personel Bilgi'!A:D,4,0),"- - -")</f>
        <v>ANKARA</v>
      </c>
      <c r="J68" s="19" t="str">
        <f>IFERROR(VLOOKUP(F68,'Personel Bilgi'!A:E,5,0),"- - -")</f>
        <v>MÜŞTERİ TEMSİLCİSİ</v>
      </c>
      <c r="K68" s="19" t="s">
        <v>65</v>
      </c>
      <c r="L68" s="19" t="s">
        <v>97</v>
      </c>
      <c r="M68" s="21" t="s">
        <v>734</v>
      </c>
      <c r="N68" s="36">
        <v>45993</v>
      </c>
      <c r="O68" s="36">
        <v>45994</v>
      </c>
      <c r="P68" s="21" t="s">
        <v>81</v>
      </c>
      <c r="Q68" s="37" t="s">
        <v>735</v>
      </c>
      <c r="R68" s="21" t="s">
        <v>790</v>
      </c>
      <c r="S68" s="21" t="s">
        <v>92</v>
      </c>
      <c r="T68" s="21" t="s">
        <v>94</v>
      </c>
      <c r="U68" s="21">
        <v>0</v>
      </c>
      <c r="V68" s="21" t="s">
        <v>736</v>
      </c>
      <c r="W68" s="19">
        <v>666666</v>
      </c>
      <c r="X68" s="19" t="str">
        <f>IFERROR(VLOOKUP(W68,'Personel Bilgi'!A:B,2,0),"---")</f>
        <v>İÇ BİRİM</v>
      </c>
      <c r="Y68" s="19" t="str">
        <f>IFERROR(VLOOKUP(W68,'Personel Bilgi'!A:C,3,0),"---")</f>
        <v>İÇ BİRİM</v>
      </c>
      <c r="Z68" s="19" t="str">
        <f>IFERROR(VLOOKUP(Y68,'Personel Bilgi'!C:D,2,0),"---")</f>
        <v>İÇ BİRİM</v>
      </c>
      <c r="AA68" s="19" t="str">
        <f>IFERROR(VLOOKUP(Y68,'Personel Bilgi'!C:E,3,0),"---")</f>
        <v>İÇ BİRİM</v>
      </c>
      <c r="AB68" s="19" t="s">
        <v>65</v>
      </c>
      <c r="AC68" s="19" t="s">
        <v>97</v>
      </c>
      <c r="AD68" s="19" t="s">
        <v>734</v>
      </c>
    </row>
    <row r="69" spans="1:31" x14ac:dyDescent="0.25">
      <c r="A69" s="19" t="s">
        <v>10</v>
      </c>
      <c r="B69" s="21" t="s">
        <v>835</v>
      </c>
      <c r="C69" s="21">
        <v>5397232510</v>
      </c>
      <c r="D69" s="21" t="s">
        <v>15</v>
      </c>
      <c r="E69" s="21" t="str">
        <f>IFERROR(VLOOKUP(D69,Tanımlar!C:D,2,0),"- - -")</f>
        <v>PERAKENDE</v>
      </c>
      <c r="F69" s="27">
        <v>600661</v>
      </c>
      <c r="G69" s="19" t="str">
        <f>IFERROR(VLOOKUP(F69,'Personel Bilgi'!A:B,2,0),"- - - ")</f>
        <v>ZEYNEP TEKELI</v>
      </c>
      <c r="H69" s="19" t="str">
        <f>IFERROR(VLOOKUP(F69,'Personel Bilgi'!A:D,3,0),"- - -")</f>
        <v>BUSRA OLCULMUS</v>
      </c>
      <c r="I69" s="19" t="str">
        <f>IFERROR(VLOOKUP(F69,'Personel Bilgi'!A:D,4,0),"- - -")</f>
        <v>ANKARA</v>
      </c>
      <c r="J69" s="19" t="str">
        <f>IFERROR(VLOOKUP(F69,'Personel Bilgi'!A:E,5,0),"- - -")</f>
        <v>MÜŞTERİ TEMSİLCİSİ</v>
      </c>
      <c r="K69" s="19" t="s">
        <v>65</v>
      </c>
      <c r="L69" s="19" t="s">
        <v>97</v>
      </c>
      <c r="M69" s="21" t="s">
        <v>24</v>
      </c>
      <c r="N69" s="36">
        <v>45993</v>
      </c>
      <c r="O69" s="36">
        <v>45994</v>
      </c>
      <c r="P69" s="21" t="s">
        <v>81</v>
      </c>
      <c r="Q69" s="37" t="s">
        <v>735</v>
      </c>
      <c r="R69" s="21" t="s">
        <v>790</v>
      </c>
      <c r="S69" s="21" t="s">
        <v>92</v>
      </c>
      <c r="T69" s="21" t="s">
        <v>94</v>
      </c>
      <c r="U69" s="21">
        <v>0</v>
      </c>
      <c r="V69" s="21" t="s">
        <v>736</v>
      </c>
      <c r="W69" s="19">
        <v>666666</v>
      </c>
      <c r="X69" s="19" t="str">
        <f>IFERROR(VLOOKUP(W69,'Personel Bilgi'!A:B,2,0),"---")</f>
        <v>İÇ BİRİM</v>
      </c>
      <c r="Y69" s="19" t="str">
        <f>IFERROR(VLOOKUP(W69,'Personel Bilgi'!A:C,3,0),"---")</f>
        <v>İÇ BİRİM</v>
      </c>
      <c r="Z69" s="19" t="str">
        <f>IFERROR(VLOOKUP(Y69,'Personel Bilgi'!C:D,2,0),"---")</f>
        <v>İÇ BİRİM</v>
      </c>
      <c r="AA69" s="19" t="str">
        <f>IFERROR(VLOOKUP(Y69,'Personel Bilgi'!C:E,3,0),"---")</f>
        <v>İÇ BİRİM</v>
      </c>
      <c r="AB69" s="19" t="s">
        <v>65</v>
      </c>
      <c r="AC69" s="19" t="s">
        <v>97</v>
      </c>
      <c r="AD69" s="19" t="s">
        <v>24</v>
      </c>
    </row>
    <row r="70" spans="1:31" x14ac:dyDescent="0.25">
      <c r="A70" s="19" t="s">
        <v>10</v>
      </c>
      <c r="B70" s="21" t="s">
        <v>835</v>
      </c>
      <c r="C70" s="21">
        <v>5397232510</v>
      </c>
      <c r="D70" s="21" t="s">
        <v>15</v>
      </c>
      <c r="E70" s="21" t="str">
        <f>IFERROR(VLOOKUP(D70,Tanımlar!C:D,2,0),"- - -")</f>
        <v>PERAKENDE</v>
      </c>
      <c r="F70" s="27">
        <v>600657</v>
      </c>
      <c r="G70" s="19" t="str">
        <f>IFERROR(VLOOKUP(F70,'Personel Bilgi'!A:B,2,0),"- - - ")</f>
        <v>SEHER ERCAN</v>
      </c>
      <c r="H70" s="19" t="str">
        <f>IFERROR(VLOOKUP(F70,'Personel Bilgi'!A:D,3,0),"- - -")</f>
        <v>FERHAT DEMIR</v>
      </c>
      <c r="I70" s="19" t="str">
        <f>IFERROR(VLOOKUP(F70,'Personel Bilgi'!A:D,4,0),"- - -")</f>
        <v>ANKARA</v>
      </c>
      <c r="J70" s="19" t="str">
        <f>IFERROR(VLOOKUP(F70,'Personel Bilgi'!A:E,5,0),"- - -")</f>
        <v>MÜŞTERİ TEMSİLCİSİ</v>
      </c>
      <c r="K70" s="19" t="s">
        <v>65</v>
      </c>
      <c r="L70" s="19" t="s">
        <v>97</v>
      </c>
      <c r="M70" s="21" t="s">
        <v>734</v>
      </c>
      <c r="N70" s="36">
        <v>45993</v>
      </c>
      <c r="O70" s="36">
        <v>45994</v>
      </c>
      <c r="P70" s="21" t="s">
        <v>81</v>
      </c>
      <c r="Q70" s="37" t="s">
        <v>735</v>
      </c>
      <c r="R70" s="21" t="s">
        <v>790</v>
      </c>
      <c r="S70" s="21" t="s">
        <v>93</v>
      </c>
      <c r="T70" s="21" t="s">
        <v>95</v>
      </c>
      <c r="U70" s="21" t="s">
        <v>735</v>
      </c>
      <c r="V70" s="21" t="s">
        <v>736</v>
      </c>
      <c r="W70" s="19">
        <v>666666</v>
      </c>
      <c r="X70" s="19" t="str">
        <f>IFERROR(VLOOKUP(W70,'Personel Bilgi'!A:B,2,0),"---")</f>
        <v>İÇ BİRİM</v>
      </c>
      <c r="Y70" s="19" t="str">
        <f>IFERROR(VLOOKUP(W70,'Personel Bilgi'!A:C,3,0),"---")</f>
        <v>İÇ BİRİM</v>
      </c>
      <c r="Z70" s="19" t="str">
        <f>IFERROR(VLOOKUP(Y70,'Personel Bilgi'!C:D,2,0),"---")</f>
        <v>İÇ BİRİM</v>
      </c>
      <c r="AA70" s="19" t="str">
        <f>IFERROR(VLOOKUP(Y70,'Personel Bilgi'!C:E,3,0),"---")</f>
        <v>İÇ BİRİM</v>
      </c>
      <c r="AB70" s="19" t="s">
        <v>65</v>
      </c>
      <c r="AC70" s="19" t="s">
        <v>97</v>
      </c>
      <c r="AD70" s="19" t="s">
        <v>734</v>
      </c>
    </row>
    <row r="71" spans="1:31" x14ac:dyDescent="0.25">
      <c r="A71" s="19" t="s">
        <v>9</v>
      </c>
      <c r="B71" s="20" t="s">
        <v>836</v>
      </c>
      <c r="C71" s="21">
        <v>5337319588</v>
      </c>
      <c r="D71" s="21" t="s">
        <v>12</v>
      </c>
      <c r="E71" s="21" t="str">
        <f>IFERROR(VLOOKUP(D71,Tanımlar!C:D,2,0),"- - -")</f>
        <v>DAĞITIM</v>
      </c>
      <c r="F71" s="27">
        <v>500040</v>
      </c>
      <c r="G71" s="19" t="str">
        <f>IFERROR(VLOOKUP(F71,'Personel Bilgi'!A:B,2,0),"- - - ")</f>
        <v>CANER CAMCI</v>
      </c>
      <c r="H71" s="19" t="str">
        <f>IFERROR(VLOOKUP(F71,'Personel Bilgi'!A:D,3,0),"- - -")</f>
        <v>MEHMET ALI SAVAN</v>
      </c>
      <c r="I71" s="19" t="str">
        <f>IFERROR(VLOOKUP(F71,'Personel Bilgi'!A:D,4,0),"- - -")</f>
        <v>ERZURUM</v>
      </c>
      <c r="J71" s="19" t="str">
        <f>IFERROR(VLOOKUP(F71,'Personel Bilgi'!A:E,5,0),"- - -")</f>
        <v>MÜŞTERİ TEMSİLCİSİ</v>
      </c>
      <c r="K71" s="19" t="s">
        <v>64</v>
      </c>
      <c r="L71" s="19" t="s">
        <v>41</v>
      </c>
      <c r="M71" s="21" t="s">
        <v>789</v>
      </c>
      <c r="N71" s="36">
        <v>45994</v>
      </c>
      <c r="O71" s="36">
        <v>45994</v>
      </c>
      <c r="P71" s="21" t="s">
        <v>81</v>
      </c>
      <c r="Q71" s="37" t="s">
        <v>735</v>
      </c>
      <c r="R71" s="21" t="s">
        <v>790</v>
      </c>
      <c r="S71" s="21" t="s">
        <v>93</v>
      </c>
      <c r="T71" s="21" t="s">
        <v>95</v>
      </c>
      <c r="U71" s="21" t="s">
        <v>735</v>
      </c>
      <c r="V71" s="21" t="s">
        <v>736</v>
      </c>
      <c r="W71" s="19">
        <v>888888</v>
      </c>
      <c r="X71" s="19" t="str">
        <f>IFERROR(VLOOKUP(W71,'Personel Bilgi'!A:B,2,0),"---")</f>
        <v>CİMER</v>
      </c>
      <c r="Y71" s="19" t="str">
        <f>IFERROR(VLOOKUP(W71,'Personel Bilgi'!A:C,3,0),"---")</f>
        <v>CİMER</v>
      </c>
      <c r="Z71" s="19" t="str">
        <f>IFERROR(VLOOKUP(Y71,'Personel Bilgi'!C:D,2,0),"---")</f>
        <v>CİMER</v>
      </c>
      <c r="AA71" s="19" t="str">
        <f>IFERROR(VLOOKUP(Y71,'Personel Bilgi'!C:E,3,0),"---")</f>
        <v>CİMER</v>
      </c>
      <c r="AB71" s="19" t="s">
        <v>64</v>
      </c>
      <c r="AC71" s="19" t="s">
        <v>41</v>
      </c>
      <c r="AD71" s="19" t="s">
        <v>789</v>
      </c>
    </row>
    <row r="72" spans="1:31" x14ac:dyDescent="0.25">
      <c r="A72" s="19" t="s">
        <v>9</v>
      </c>
      <c r="B72" s="20" t="s">
        <v>836</v>
      </c>
      <c r="C72" s="21">
        <v>5337319588</v>
      </c>
      <c r="D72" s="21" t="s">
        <v>12</v>
      </c>
      <c r="E72" s="21" t="str">
        <f>IFERROR(VLOOKUP(D72,Tanımlar!C:D,2,0),"- - -")</f>
        <v>DAĞITIM</v>
      </c>
      <c r="F72" s="27">
        <v>500078</v>
      </c>
      <c r="G72" s="19" t="str">
        <f>IFERROR(VLOOKUP(F72,'Personel Bilgi'!A:B,2,0),"- - - ")</f>
        <v>DUYGU DEMIRCI</v>
      </c>
      <c r="H72" s="19" t="str">
        <f>IFERROR(VLOOKUP(F72,'Personel Bilgi'!A:D,3,0),"- - -")</f>
        <v>SALTUK BUGRAHAN TAYMUS</v>
      </c>
      <c r="I72" s="19" t="str">
        <f>IFERROR(VLOOKUP(F72,'Personel Bilgi'!A:D,4,0),"- - -")</f>
        <v>ERZURUM</v>
      </c>
      <c r="J72" s="19" t="str">
        <f>IFERROR(VLOOKUP(F72,'Personel Bilgi'!A:E,5,0),"- - -")</f>
        <v>MÜŞTERİ TEMSİLCİSİ</v>
      </c>
      <c r="K72" s="19" t="s">
        <v>64</v>
      </c>
      <c r="L72" s="19" t="s">
        <v>41</v>
      </c>
      <c r="M72" s="21" t="s">
        <v>789</v>
      </c>
      <c r="N72" s="36">
        <v>45994</v>
      </c>
      <c r="O72" s="36">
        <v>45994</v>
      </c>
      <c r="P72" s="21" t="s">
        <v>81</v>
      </c>
      <c r="Q72" s="37" t="s">
        <v>735</v>
      </c>
      <c r="R72" s="21" t="s">
        <v>790</v>
      </c>
      <c r="S72" s="21" t="s">
        <v>93</v>
      </c>
      <c r="T72" s="21" t="s">
        <v>95</v>
      </c>
      <c r="U72" s="21" t="s">
        <v>735</v>
      </c>
      <c r="V72" s="21" t="s">
        <v>736</v>
      </c>
      <c r="W72" s="19">
        <v>888888</v>
      </c>
      <c r="X72" s="19" t="str">
        <f>IFERROR(VLOOKUP(W72,'Personel Bilgi'!A:B,2,0),"---")</f>
        <v>CİMER</v>
      </c>
      <c r="Y72" s="19" t="str">
        <f>IFERROR(VLOOKUP(W72,'Personel Bilgi'!A:C,3,0),"---")</f>
        <v>CİMER</v>
      </c>
      <c r="Z72" s="19" t="str">
        <f>IFERROR(VLOOKUP(Y72,'Personel Bilgi'!C:D,2,0),"---")</f>
        <v>CİMER</v>
      </c>
      <c r="AA72" s="19" t="str">
        <f>IFERROR(VLOOKUP(Y72,'Personel Bilgi'!C:E,3,0),"---")</f>
        <v>CİMER</v>
      </c>
      <c r="AB72" s="19" t="s">
        <v>64</v>
      </c>
      <c r="AC72" s="19" t="s">
        <v>41</v>
      </c>
      <c r="AD72" s="19" t="s">
        <v>789</v>
      </c>
    </row>
    <row r="73" spans="1:31" x14ac:dyDescent="0.25">
      <c r="A73" s="19" t="s">
        <v>9</v>
      </c>
      <c r="B73" s="20" t="s">
        <v>836</v>
      </c>
      <c r="C73" s="21">
        <v>5337319588</v>
      </c>
      <c r="D73" s="21" t="s">
        <v>12</v>
      </c>
      <c r="E73" s="21" t="str">
        <f>IFERROR(VLOOKUP(D73,Tanımlar!C:D,2,0),"- - -")</f>
        <v>DAĞITIM</v>
      </c>
      <c r="F73" s="21">
        <v>500079</v>
      </c>
      <c r="G73" s="22" t="s">
        <v>935</v>
      </c>
      <c r="H73" s="19" t="str">
        <f>IFERROR(VLOOKUP(F73,'Personel Bilgi'!A:D,3,0),"- - -")</f>
        <v>SALTUK BUGRAHAN TAYMUS</v>
      </c>
      <c r="I73" s="19" t="str">
        <f>IFERROR(VLOOKUP(F73,'Personel Bilgi'!A:D,4,0),"- - -")</f>
        <v>ERZURUM</v>
      </c>
      <c r="J73" s="19" t="str">
        <f>IFERROR(VLOOKUP(F73,'Personel Bilgi'!A:E,5,0),"- - -")</f>
        <v>MÜŞTERİ TEMSİLCİSİ</v>
      </c>
      <c r="K73" s="19" t="s">
        <v>64</v>
      </c>
      <c r="L73" s="19" t="s">
        <v>41</v>
      </c>
      <c r="M73" s="21" t="s">
        <v>789</v>
      </c>
      <c r="N73" s="36">
        <v>45994</v>
      </c>
      <c r="O73" s="36">
        <v>45994</v>
      </c>
      <c r="P73" s="21" t="s">
        <v>81</v>
      </c>
      <c r="Q73" s="37" t="s">
        <v>735</v>
      </c>
      <c r="R73" s="21" t="s">
        <v>790</v>
      </c>
      <c r="S73" s="21" t="s">
        <v>93</v>
      </c>
      <c r="T73" s="21" t="s">
        <v>95</v>
      </c>
      <c r="U73" s="21" t="s">
        <v>735</v>
      </c>
      <c r="V73" s="21" t="s">
        <v>736</v>
      </c>
      <c r="W73" s="19">
        <v>888888</v>
      </c>
      <c r="X73" s="19" t="str">
        <f>IFERROR(VLOOKUP(W73,'Personel Bilgi'!A:B,2,0),"---")</f>
        <v>CİMER</v>
      </c>
      <c r="Y73" s="19" t="str">
        <f>IFERROR(VLOOKUP(W73,'Personel Bilgi'!A:C,3,0),"---")</f>
        <v>CİMER</v>
      </c>
      <c r="Z73" s="19" t="str">
        <f>IFERROR(VLOOKUP(Y73,'Personel Bilgi'!C:D,2,0),"---")</f>
        <v>CİMER</v>
      </c>
      <c r="AA73" s="19" t="str">
        <f>IFERROR(VLOOKUP(Y73,'Personel Bilgi'!C:E,3,0),"---")</f>
        <v>CİMER</v>
      </c>
      <c r="AB73" s="19" t="s">
        <v>64</v>
      </c>
      <c r="AC73" s="19" t="s">
        <v>41</v>
      </c>
      <c r="AD73" s="19" t="s">
        <v>789</v>
      </c>
    </row>
    <row r="74" spans="1:31" x14ac:dyDescent="0.25">
      <c r="A74" s="19" t="s">
        <v>9</v>
      </c>
      <c r="B74" s="20" t="s">
        <v>836</v>
      </c>
      <c r="C74" s="21">
        <v>5337319588</v>
      </c>
      <c r="D74" s="21" t="s">
        <v>12</v>
      </c>
      <c r="E74" s="21" t="str">
        <f>IFERROR(VLOOKUP(D74,Tanımlar!C:D,2,0),"- - -")</f>
        <v>DAĞITIM</v>
      </c>
      <c r="F74" s="27">
        <v>111182</v>
      </c>
      <c r="G74" s="19" t="str">
        <f>IFERROR(VLOOKUP(F74,'Personel Bilgi'!A:B,2,0),"- - - ")</f>
        <v>DIDEM KENCU</v>
      </c>
      <c r="H74" s="19" t="str">
        <f>IFERROR(VLOOKUP(F74,'Personel Bilgi'!A:D,3,0),"- - -")</f>
        <v>SEVCAN BULUT</v>
      </c>
      <c r="I74" s="19" t="str">
        <f>IFERROR(VLOOKUP(F74,'Personel Bilgi'!A:D,4,0),"- - -")</f>
        <v>KARS</v>
      </c>
      <c r="J74" s="19" t="str">
        <f>IFERROR(VLOOKUP(F74,'Personel Bilgi'!A:E,5,0),"- - -")</f>
        <v>MÜŞTERİ TEMSİLCİSİ</v>
      </c>
      <c r="K74" s="19" t="s">
        <v>64</v>
      </c>
      <c r="L74" s="19" t="s">
        <v>41</v>
      </c>
      <c r="M74" s="21" t="s">
        <v>789</v>
      </c>
      <c r="N74" s="36">
        <v>45994</v>
      </c>
      <c r="O74" s="36">
        <v>45994</v>
      </c>
      <c r="P74" s="21" t="s">
        <v>81</v>
      </c>
      <c r="Q74" s="37" t="s">
        <v>735</v>
      </c>
      <c r="R74" s="21" t="s">
        <v>790</v>
      </c>
      <c r="S74" s="21" t="s">
        <v>93</v>
      </c>
      <c r="T74" s="21" t="s">
        <v>95</v>
      </c>
      <c r="U74" s="21" t="s">
        <v>735</v>
      </c>
      <c r="V74" s="21" t="s">
        <v>736</v>
      </c>
      <c r="W74" s="19">
        <v>888888</v>
      </c>
      <c r="X74" s="19" t="str">
        <f>IFERROR(VLOOKUP(W74,'Personel Bilgi'!A:B,2,0),"---")</f>
        <v>CİMER</v>
      </c>
      <c r="Y74" s="19" t="str">
        <f>IFERROR(VLOOKUP(W74,'Personel Bilgi'!A:C,3,0),"---")</f>
        <v>CİMER</v>
      </c>
      <c r="Z74" s="19" t="str">
        <f>IFERROR(VLOOKUP(Y74,'Personel Bilgi'!C:D,2,0),"---")</f>
        <v>CİMER</v>
      </c>
      <c r="AA74" s="19" t="str">
        <f>IFERROR(VLOOKUP(Y74,'Personel Bilgi'!C:E,3,0),"---")</f>
        <v>CİMER</v>
      </c>
      <c r="AB74" s="19" t="s">
        <v>64</v>
      </c>
      <c r="AC74" s="19" t="s">
        <v>41</v>
      </c>
      <c r="AD74" s="19" t="s">
        <v>789</v>
      </c>
    </row>
    <row r="75" spans="1:31" x14ac:dyDescent="0.25">
      <c r="A75" s="19" t="s">
        <v>11</v>
      </c>
      <c r="B75" s="21" t="s">
        <v>837</v>
      </c>
      <c r="C75" s="21">
        <v>5345764171</v>
      </c>
      <c r="D75" s="21" t="s">
        <v>14</v>
      </c>
      <c r="E75" s="21" t="str">
        <f>IFERROR(VLOOKUP(D75,Tanımlar!C:D,2,0),"- - -")</f>
        <v>DAĞITIM</v>
      </c>
      <c r="F75" s="27">
        <v>500147</v>
      </c>
      <c r="G75" s="19" t="str">
        <f>IFERROR(VLOOKUP(F75,'Personel Bilgi'!A:B,2,0),"- - - ")</f>
        <v>CAGLAR KURSAT YILMAZ</v>
      </c>
      <c r="H75" s="19" t="str">
        <f>IFERROR(VLOOKUP(F75,'Personel Bilgi'!A:D,3,0),"- - -")</f>
        <v>KURSAD TERCANLI</v>
      </c>
      <c r="I75" s="19" t="str">
        <f>IFERROR(VLOOKUP(F75,'Personel Bilgi'!A:D,4,0),"- - -")</f>
        <v>ERZURUM</v>
      </c>
      <c r="J75" s="19" t="str">
        <f>IFERROR(VLOOKUP(F75,'Personel Bilgi'!A:E,5,0),"- - -")</f>
        <v>MÜŞTERİ TEMSİLCİSİ</v>
      </c>
      <c r="K75" s="19" t="s">
        <v>64</v>
      </c>
      <c r="L75" s="19" t="s">
        <v>41</v>
      </c>
      <c r="M75" s="21" t="s">
        <v>789</v>
      </c>
      <c r="N75" s="36">
        <v>45994</v>
      </c>
      <c r="O75" s="36">
        <v>45996</v>
      </c>
      <c r="P75" s="21" t="s">
        <v>81</v>
      </c>
      <c r="Q75" s="37" t="s">
        <v>735</v>
      </c>
      <c r="R75" s="21" t="s">
        <v>790</v>
      </c>
      <c r="S75" s="21" t="s">
        <v>93</v>
      </c>
      <c r="T75" s="21" t="s">
        <v>95</v>
      </c>
      <c r="U75" s="21" t="s">
        <v>735</v>
      </c>
      <c r="V75" s="21" t="s">
        <v>736</v>
      </c>
      <c r="W75" s="21">
        <v>500151</v>
      </c>
      <c r="X75" s="19" t="str">
        <f>IFERROR(VLOOKUP(W75,'Personel Bilgi'!A:B,2,0),"---")</f>
        <v>EMINE ABI</v>
      </c>
      <c r="Y75" s="19" t="str">
        <f>IFERROR(VLOOKUP(W75,'Personel Bilgi'!A:C,3,0),"---")</f>
        <v>KURSAD TERCANLI</v>
      </c>
      <c r="Z75" s="22" t="s">
        <v>95</v>
      </c>
      <c r="AA75" s="22" t="s">
        <v>617</v>
      </c>
      <c r="AB75" s="22" t="s">
        <v>64</v>
      </c>
      <c r="AC75" s="22" t="s">
        <v>41</v>
      </c>
      <c r="AD75" s="22" t="s">
        <v>789</v>
      </c>
    </row>
    <row r="76" spans="1:31" x14ac:dyDescent="0.25">
      <c r="A76" s="19" t="s">
        <v>11</v>
      </c>
      <c r="B76" s="21" t="s">
        <v>838</v>
      </c>
      <c r="C76" s="21">
        <v>5305703520</v>
      </c>
      <c r="D76" s="21" t="s">
        <v>12</v>
      </c>
      <c r="E76" s="21" t="str">
        <f>IFERROR(VLOOKUP(D76,Tanımlar!C:D,2,0),"- - -")</f>
        <v>DAĞITIM</v>
      </c>
      <c r="F76" s="27">
        <v>500196</v>
      </c>
      <c r="G76" s="19" t="str">
        <f>IFERROR(VLOOKUP(F76,'Personel Bilgi'!A:B,2,0),"- - - ")</f>
        <v>MUHAMMED IKBAL KARABACAK</v>
      </c>
      <c r="H76" s="19" t="str">
        <f>IFERROR(VLOOKUP(F76,'Personel Bilgi'!A:D,3,0),"- - -")</f>
        <v>TURGUT AKDAG</v>
      </c>
      <c r="I76" s="19" t="str">
        <f>IFERROR(VLOOKUP(F76,'Personel Bilgi'!A:D,4,0),"- - -")</f>
        <v>ERZURUM</v>
      </c>
      <c r="J76" s="19" t="str">
        <f>IFERROR(VLOOKUP(F76,'Personel Bilgi'!A:E,5,0),"- - -")</f>
        <v>MÜŞTERİ TEMSİLCİSİ</v>
      </c>
      <c r="K76" s="19" t="s">
        <v>50</v>
      </c>
      <c r="L76" s="19" t="s">
        <v>41</v>
      </c>
      <c r="M76" s="21" t="s">
        <v>789</v>
      </c>
      <c r="N76" s="36">
        <v>45994</v>
      </c>
      <c r="O76" s="36">
        <v>45999</v>
      </c>
      <c r="P76" s="19" t="s">
        <v>79</v>
      </c>
      <c r="Q76" s="37" t="s">
        <v>735</v>
      </c>
      <c r="R76" s="21" t="s">
        <v>790</v>
      </c>
      <c r="S76" s="21" t="s">
        <v>92</v>
      </c>
      <c r="T76" s="21" t="s">
        <v>94</v>
      </c>
      <c r="U76" s="21">
        <v>0</v>
      </c>
      <c r="V76" s="21" t="s">
        <v>736</v>
      </c>
      <c r="W76" s="21">
        <v>500093</v>
      </c>
      <c r="X76" s="19" t="str">
        <f>IFERROR(VLOOKUP(W76,'Personel Bilgi'!A:B,2,0),"---")</f>
        <v>EMRE GUNES</v>
      </c>
      <c r="Y76" s="19" t="str">
        <f>IFERROR(VLOOKUP(W76,'Personel Bilgi'!A:C,3,0),"---")</f>
        <v>METEHAN EMRE SIRMALI</v>
      </c>
      <c r="Z76" s="22" t="s">
        <v>95</v>
      </c>
      <c r="AA76" s="22" t="s">
        <v>617</v>
      </c>
      <c r="AB76" s="22" t="s">
        <v>50</v>
      </c>
      <c r="AC76" s="22" t="s">
        <v>41</v>
      </c>
      <c r="AD76" s="22" t="s">
        <v>789</v>
      </c>
    </row>
    <row r="77" spans="1:31" x14ac:dyDescent="0.25">
      <c r="A77" s="19" t="s">
        <v>11</v>
      </c>
      <c r="B77" s="21" t="s">
        <v>839</v>
      </c>
      <c r="C77" s="21">
        <v>5398685195</v>
      </c>
      <c r="D77" s="21" t="s">
        <v>12</v>
      </c>
      <c r="E77" s="21" t="str">
        <f>IFERROR(VLOOKUP(D77,Tanımlar!C:D,2,0),"- - -")</f>
        <v>DAĞITIM</v>
      </c>
      <c r="F77" s="27">
        <v>500075</v>
      </c>
      <c r="G77" s="19" t="str">
        <f>IFERROR(VLOOKUP(F77,'Personel Bilgi'!A:B,2,0),"- - - ")</f>
        <v>AHMET SEFA BASBUGA</v>
      </c>
      <c r="H77" s="19" t="str">
        <f>IFERROR(VLOOKUP(F77,'Personel Bilgi'!A:D,3,0),"- - -")</f>
        <v>SALTUK BUGRAHAN TAYMUS</v>
      </c>
      <c r="I77" s="19" t="str">
        <f>IFERROR(VLOOKUP(F77,'Personel Bilgi'!A:D,4,0),"- - -")</f>
        <v>ERZURUM</v>
      </c>
      <c r="J77" s="19" t="str">
        <f>IFERROR(VLOOKUP(F77,'Personel Bilgi'!A:E,5,0),"- - -")</f>
        <v>MÜŞTERİ TEMSİLCİSİ</v>
      </c>
      <c r="K77" s="19" t="s">
        <v>59</v>
      </c>
      <c r="L77" s="19" t="s">
        <v>97</v>
      </c>
      <c r="M77" s="21" t="s">
        <v>734</v>
      </c>
      <c r="N77" s="36">
        <v>45995</v>
      </c>
      <c r="O77" s="36">
        <v>45999</v>
      </c>
      <c r="P77" s="21" t="s">
        <v>81</v>
      </c>
      <c r="Q77" s="37" t="s">
        <v>735</v>
      </c>
      <c r="R77" s="21" t="s">
        <v>790</v>
      </c>
      <c r="S77" s="21" t="s">
        <v>92</v>
      </c>
      <c r="T77" s="21" t="s">
        <v>95</v>
      </c>
      <c r="U77" s="21">
        <v>100</v>
      </c>
      <c r="V77" s="21" t="s">
        <v>736</v>
      </c>
      <c r="W77" s="21">
        <v>500043</v>
      </c>
      <c r="X77" s="19" t="str">
        <f>IFERROR(VLOOKUP(W77,'Personel Bilgi'!A:B,2,0),"---")</f>
        <v>ELANUR DUMLU</v>
      </c>
      <c r="Y77" s="19" t="str">
        <f>IFERROR(VLOOKUP(W77,'Personel Bilgi'!A:C,3,0),"---")</f>
        <v>MEHMET ALI SAVAN</v>
      </c>
      <c r="Z77" s="22" t="s">
        <v>94</v>
      </c>
      <c r="AA77" s="22" t="s">
        <v>616</v>
      </c>
      <c r="AB77" s="22" t="s">
        <v>59</v>
      </c>
      <c r="AC77" s="22" t="s">
        <v>97</v>
      </c>
      <c r="AD77" s="22" t="s">
        <v>734</v>
      </c>
    </row>
    <row r="78" spans="1:31" x14ac:dyDescent="0.25">
      <c r="A78" s="19" t="s">
        <v>11</v>
      </c>
      <c r="B78" s="21" t="s">
        <v>840</v>
      </c>
      <c r="C78" s="21">
        <v>5055031052</v>
      </c>
      <c r="D78" s="21" t="s">
        <v>12</v>
      </c>
      <c r="E78" s="21" t="str">
        <f>IFERROR(VLOOKUP(D78,Tanımlar!C:D,2,0),"- - -")</f>
        <v>DAĞITIM</v>
      </c>
      <c r="F78" s="27">
        <v>500132</v>
      </c>
      <c r="G78" s="19" t="str">
        <f>IFERROR(VLOOKUP(F78,'Personel Bilgi'!A:B,2,0),"- - - ")</f>
        <v>SONGUL BEKCI</v>
      </c>
      <c r="H78" s="19" t="str">
        <f>IFERROR(VLOOKUP(F78,'Personel Bilgi'!A:D,3,0),"- - -")</f>
        <v>TURGUT AKDAG</v>
      </c>
      <c r="I78" s="19" t="str">
        <f>IFERROR(VLOOKUP(F78,'Personel Bilgi'!A:D,4,0),"- - -")</f>
        <v>ERZURUM</v>
      </c>
      <c r="J78" s="19" t="str">
        <f>IFERROR(VLOOKUP(F78,'Personel Bilgi'!A:E,5,0),"- - -")</f>
        <v>MÜŞTERİ TEMSİLCİSİ</v>
      </c>
      <c r="K78" s="19" t="s">
        <v>53</v>
      </c>
      <c r="L78" s="19" t="s">
        <v>97</v>
      </c>
      <c r="M78" s="21" t="s">
        <v>734</v>
      </c>
      <c r="N78" s="36">
        <v>45992</v>
      </c>
      <c r="O78" s="36">
        <v>45999</v>
      </c>
      <c r="P78" s="21" t="s">
        <v>1145</v>
      </c>
      <c r="Q78" s="37" t="s">
        <v>735</v>
      </c>
      <c r="R78" s="21" t="s">
        <v>790</v>
      </c>
      <c r="S78" s="21" t="s">
        <v>92</v>
      </c>
      <c r="T78" s="21" t="s">
        <v>94</v>
      </c>
      <c r="U78" s="21">
        <v>0</v>
      </c>
      <c r="V78" s="21" t="s">
        <v>736</v>
      </c>
      <c r="W78" s="21">
        <v>500069</v>
      </c>
      <c r="X78" s="19" t="str">
        <f>IFERROR(VLOOKUP(W78,'Personel Bilgi'!A:B,2,0),"---")</f>
        <v>HUMEYYA ILAYDA ORS</v>
      </c>
      <c r="Y78" s="19" t="str">
        <f>IFERROR(VLOOKUP(W78,'Personel Bilgi'!A:C,3,0),"---")</f>
        <v>SALTUK BUGRAHAN TAYMUS</v>
      </c>
      <c r="Z78" s="22" t="s">
        <v>95</v>
      </c>
      <c r="AA78" s="22" t="s">
        <v>617</v>
      </c>
      <c r="AB78" s="22" t="s">
        <v>53</v>
      </c>
      <c r="AC78" s="22" t="s">
        <v>97</v>
      </c>
      <c r="AD78" s="22" t="s">
        <v>734</v>
      </c>
    </row>
    <row r="79" spans="1:31" x14ac:dyDescent="0.25">
      <c r="A79" s="19" t="s">
        <v>11</v>
      </c>
      <c r="B79" s="21" t="s">
        <v>841</v>
      </c>
      <c r="C79" s="21">
        <v>5510853149</v>
      </c>
      <c r="D79" s="21" t="s">
        <v>12</v>
      </c>
      <c r="E79" s="21" t="str">
        <f>IFERROR(VLOOKUP(D79,Tanımlar!C:D,2,0),"- - -")</f>
        <v>DAĞITIM</v>
      </c>
      <c r="F79" s="21" t="s">
        <v>735</v>
      </c>
      <c r="G79" s="19" t="str">
        <f>IFERROR(VLOOKUP(F79,'Personel Bilgi'!A:B,2,0),"- - - ")</f>
        <v xml:space="preserve">- - - </v>
      </c>
      <c r="H79" s="19" t="str">
        <f>IFERROR(VLOOKUP(F79,'Personel Bilgi'!A:D,3,0),"- - -")</f>
        <v>- - -</v>
      </c>
      <c r="I79" s="19" t="str">
        <f>IFERROR(VLOOKUP(F79,'Personel Bilgi'!A:D,4,0),"- - -")</f>
        <v>- - -</v>
      </c>
      <c r="J79" s="19" t="str">
        <f>IFERROR(VLOOKUP(F79,'Personel Bilgi'!A:E,5,0),"- - -")</f>
        <v>- - -</v>
      </c>
      <c r="K79" s="19" t="s">
        <v>735</v>
      </c>
      <c r="L79" s="41" t="s">
        <v>41</v>
      </c>
      <c r="M79" s="42" t="s">
        <v>864</v>
      </c>
      <c r="N79" s="36" t="s">
        <v>735</v>
      </c>
      <c r="O79" s="36">
        <v>45999</v>
      </c>
      <c r="P79" s="21" t="s">
        <v>81</v>
      </c>
      <c r="Q79" s="37" t="s">
        <v>735</v>
      </c>
      <c r="R79" s="21" t="s">
        <v>790</v>
      </c>
      <c r="S79" s="21" t="s">
        <v>93</v>
      </c>
      <c r="T79" s="21" t="s">
        <v>95</v>
      </c>
      <c r="U79" s="21" t="s">
        <v>735</v>
      </c>
      <c r="V79" s="21" t="s">
        <v>736</v>
      </c>
      <c r="W79" s="21">
        <v>500118</v>
      </c>
      <c r="X79" s="19" t="str">
        <f>IFERROR(VLOOKUP(W79,'Personel Bilgi'!A:B,2,0),"---")</f>
        <v>AYSE KOKSAL</v>
      </c>
      <c r="Y79" s="19" t="str">
        <f>IFERROR(VLOOKUP(W79,'Personel Bilgi'!A:C,3,0),"---")</f>
        <v>SAMET KOCABEYOGLU</v>
      </c>
      <c r="Z79" s="22" t="s">
        <v>94</v>
      </c>
      <c r="AA79" s="22" t="s">
        <v>616</v>
      </c>
      <c r="AB79" s="22" t="s">
        <v>735</v>
      </c>
      <c r="AC79" s="22" t="s">
        <v>41</v>
      </c>
      <c r="AD79" s="22" t="s">
        <v>864</v>
      </c>
      <c r="AE79" s="49" t="s">
        <v>963</v>
      </c>
    </row>
    <row r="80" spans="1:31" x14ac:dyDescent="0.25">
      <c r="A80" s="19" t="s">
        <v>11</v>
      </c>
      <c r="B80" s="21" t="s">
        <v>842</v>
      </c>
      <c r="C80" s="21">
        <v>5322358696</v>
      </c>
      <c r="D80" s="21" t="s">
        <v>12</v>
      </c>
      <c r="E80" s="21" t="str">
        <f>IFERROR(VLOOKUP(D80,Tanımlar!C:D,2,0),"- - -")</f>
        <v>DAĞITIM</v>
      </c>
      <c r="F80" s="27">
        <v>500157</v>
      </c>
      <c r="G80" s="19" t="str">
        <f>IFERROR(VLOOKUP(F80,'Personel Bilgi'!A:B,2,0),"- - - ")</f>
        <v>KADIR ATES</v>
      </c>
      <c r="H80" s="19" t="str">
        <f>IFERROR(VLOOKUP(F80,'Personel Bilgi'!A:D,3,0),"- - -")</f>
        <v>KURSAD TERCANLI</v>
      </c>
      <c r="I80" s="19" t="str">
        <f>IFERROR(VLOOKUP(F80,'Personel Bilgi'!A:D,4,0),"- - -")</f>
        <v>ERZURUM</v>
      </c>
      <c r="J80" s="19" t="str">
        <f>IFERROR(VLOOKUP(F80,'Personel Bilgi'!A:E,5,0),"- - -")</f>
        <v>MÜŞTERİ TEMSİLCİSİ</v>
      </c>
      <c r="K80" s="19" t="s">
        <v>49</v>
      </c>
      <c r="L80" s="19" t="s">
        <v>41</v>
      </c>
      <c r="M80" s="21" t="s">
        <v>42</v>
      </c>
      <c r="N80" s="36">
        <v>45997</v>
      </c>
      <c r="O80" s="36">
        <v>45999</v>
      </c>
      <c r="P80" s="21" t="s">
        <v>81</v>
      </c>
      <c r="Q80" s="37" t="s">
        <v>735</v>
      </c>
      <c r="R80" s="21" t="s">
        <v>790</v>
      </c>
      <c r="S80" s="21" t="s">
        <v>92</v>
      </c>
      <c r="T80" s="21" t="s">
        <v>94</v>
      </c>
      <c r="U80" s="21">
        <v>0</v>
      </c>
      <c r="V80" s="21" t="s">
        <v>736</v>
      </c>
      <c r="W80" s="21">
        <v>111253</v>
      </c>
      <c r="X80" s="19" t="str">
        <f>IFERROR(VLOOKUP(W80,'Personel Bilgi'!A:B,2,0),"---")</f>
        <v>TUGBA ALTUNOK</v>
      </c>
      <c r="Y80" s="19" t="str">
        <f>IFERROR(VLOOKUP(W80,'Personel Bilgi'!A:C,3,0),"---")</f>
        <v>YAPRAK KARAKOC</v>
      </c>
      <c r="Z80" s="22" t="s">
        <v>95</v>
      </c>
      <c r="AA80" s="22" t="s">
        <v>617</v>
      </c>
      <c r="AB80" s="22" t="s">
        <v>49</v>
      </c>
      <c r="AC80" s="22" t="s">
        <v>41</v>
      </c>
      <c r="AD80" s="22" t="s">
        <v>42</v>
      </c>
    </row>
    <row r="81" spans="1:30" x14ac:dyDescent="0.25">
      <c r="A81" s="19" t="s">
        <v>11</v>
      </c>
      <c r="B81" s="21" t="s">
        <v>843</v>
      </c>
      <c r="C81" s="21">
        <v>5466766546</v>
      </c>
      <c r="D81" s="21" t="s">
        <v>12</v>
      </c>
      <c r="E81" s="21" t="str">
        <f>IFERROR(VLOOKUP(D81,Tanımlar!C:D,2,0),"- - -")</f>
        <v>DAĞITIM</v>
      </c>
      <c r="F81" s="27">
        <v>500181</v>
      </c>
      <c r="G81" s="19" t="str">
        <f>IFERROR(VLOOKUP(F81,'Personel Bilgi'!A:B,2,0),"- - - ")</f>
        <v>IREM BAHAR UYGUN</v>
      </c>
      <c r="H81" s="19" t="str">
        <f>IFERROR(VLOOKUP(F81,'Personel Bilgi'!A:D,3,0),"- - -")</f>
        <v>SAMET KOCABEYOGLU</v>
      </c>
      <c r="I81" s="19" t="str">
        <f>IFERROR(VLOOKUP(F81,'Personel Bilgi'!A:D,4,0),"- - -")</f>
        <v>ERZURUM</v>
      </c>
      <c r="J81" s="19" t="str">
        <f>IFERROR(VLOOKUP(F81,'Personel Bilgi'!A:E,5,0),"- - -")</f>
        <v>MÜŞTERİ TEMSİLCİSİ</v>
      </c>
      <c r="K81" s="19" t="s">
        <v>49</v>
      </c>
      <c r="L81" s="19" t="s">
        <v>97</v>
      </c>
      <c r="M81" s="21" t="s">
        <v>734</v>
      </c>
      <c r="N81" s="36">
        <v>45996</v>
      </c>
      <c r="O81" s="36">
        <v>45999</v>
      </c>
      <c r="P81" s="21" t="s">
        <v>81</v>
      </c>
      <c r="Q81" s="37" t="s">
        <v>735</v>
      </c>
      <c r="R81" s="21" t="s">
        <v>790</v>
      </c>
      <c r="S81" s="21" t="s">
        <v>92</v>
      </c>
      <c r="T81" s="21" t="s">
        <v>95</v>
      </c>
      <c r="U81" s="21">
        <v>98</v>
      </c>
      <c r="V81" s="21" t="s">
        <v>736</v>
      </c>
      <c r="W81" s="21">
        <v>500024</v>
      </c>
      <c r="X81" s="19" t="str">
        <f>IFERROR(VLOOKUP(W81,'Personel Bilgi'!A:B,2,0),"---")</f>
        <v>MERVE URUK</v>
      </c>
      <c r="Y81" s="19" t="str">
        <f>IFERROR(VLOOKUP(W81,'Personel Bilgi'!A:C,3,0),"---")</f>
        <v>ERDOGAN DURUK</v>
      </c>
      <c r="Z81" s="22" t="s">
        <v>95</v>
      </c>
      <c r="AA81" s="22" t="s">
        <v>617</v>
      </c>
      <c r="AB81" s="22" t="s">
        <v>49</v>
      </c>
      <c r="AC81" s="22" t="s">
        <v>97</v>
      </c>
      <c r="AD81" s="22" t="s">
        <v>734</v>
      </c>
    </row>
    <row r="82" spans="1:30" x14ac:dyDescent="0.25">
      <c r="A82" s="19" t="s">
        <v>11</v>
      </c>
      <c r="B82" s="21" t="s">
        <v>843</v>
      </c>
      <c r="C82" s="21">
        <v>5466766546</v>
      </c>
      <c r="D82" s="21" t="s">
        <v>12</v>
      </c>
      <c r="E82" s="21" t="str">
        <f>IFERROR(VLOOKUP(D82,Tanımlar!C:D,2,0),"- - -")</f>
        <v>DAĞITIM</v>
      </c>
      <c r="F82" s="27">
        <v>500143</v>
      </c>
      <c r="G82" s="19" t="str">
        <f>IFERROR(VLOOKUP(F82,'Personel Bilgi'!A:B,2,0),"- - - ")</f>
        <v>AYDANUR TANAS</v>
      </c>
      <c r="H82" s="19" t="str">
        <f>IFERROR(VLOOKUP(F82,'Personel Bilgi'!A:D,3,0),"- - -")</f>
        <v>KURSAD TERCANLI</v>
      </c>
      <c r="I82" s="19" t="str">
        <f>IFERROR(VLOOKUP(F82,'Personel Bilgi'!A:D,4,0),"- - -")</f>
        <v>ERZURUM</v>
      </c>
      <c r="J82" s="19" t="str">
        <f>IFERROR(VLOOKUP(F82,'Personel Bilgi'!A:E,5,0),"- - -")</f>
        <v>MÜŞTERİ TEMSİLCİSİ</v>
      </c>
      <c r="K82" s="19" t="s">
        <v>49</v>
      </c>
      <c r="L82" s="19" t="s">
        <v>97</v>
      </c>
      <c r="M82" s="21" t="s">
        <v>734</v>
      </c>
      <c r="N82" s="36">
        <v>45996</v>
      </c>
      <c r="O82" s="36">
        <v>45999</v>
      </c>
      <c r="P82" s="21" t="s">
        <v>1145</v>
      </c>
      <c r="Q82" s="37" t="s">
        <v>735</v>
      </c>
      <c r="R82" s="21" t="s">
        <v>790</v>
      </c>
      <c r="S82" s="21" t="s">
        <v>92</v>
      </c>
      <c r="T82" s="21" t="s">
        <v>94</v>
      </c>
      <c r="U82" s="21">
        <v>0</v>
      </c>
      <c r="V82" s="21" t="s">
        <v>736</v>
      </c>
      <c r="W82" s="21">
        <v>500024</v>
      </c>
      <c r="X82" s="19" t="str">
        <f>IFERROR(VLOOKUP(W82,'Personel Bilgi'!A:B,2,0),"---")</f>
        <v>MERVE URUK</v>
      </c>
      <c r="Y82" s="19" t="str">
        <f>IFERROR(VLOOKUP(W82,'Personel Bilgi'!A:C,3,0),"---")</f>
        <v>ERDOGAN DURUK</v>
      </c>
      <c r="Z82" s="22" t="s">
        <v>95</v>
      </c>
      <c r="AA82" s="22" t="s">
        <v>617</v>
      </c>
      <c r="AB82" s="22" t="s">
        <v>49</v>
      </c>
      <c r="AC82" s="22" t="s">
        <v>97</v>
      </c>
      <c r="AD82" s="22" t="s">
        <v>734</v>
      </c>
    </row>
    <row r="83" spans="1:30" x14ac:dyDescent="0.25">
      <c r="A83" s="19" t="s">
        <v>11</v>
      </c>
      <c r="B83" s="21" t="s">
        <v>844</v>
      </c>
      <c r="C83" s="21">
        <v>5348940188</v>
      </c>
      <c r="D83" s="21" t="s">
        <v>12</v>
      </c>
      <c r="E83" s="21" t="str">
        <f>IFERROR(VLOOKUP(D83,Tanımlar!C:D,2,0),"- - -")</f>
        <v>DAĞITIM</v>
      </c>
      <c r="F83" s="27">
        <v>111193</v>
      </c>
      <c r="G83" s="19" t="str">
        <f>IFERROR(VLOOKUP(F83,'Personel Bilgi'!A:B,2,0),"- - - ")</f>
        <v>ROJDA BAHAR AKKAYA</v>
      </c>
      <c r="H83" s="19" t="str">
        <f>IFERROR(VLOOKUP(F83,'Personel Bilgi'!A:D,3,0),"- - -")</f>
        <v>ERCUMENT GUNESSU</v>
      </c>
      <c r="I83" s="19" t="str">
        <f>IFERROR(VLOOKUP(F83,'Personel Bilgi'!A:D,4,0),"- - -")</f>
        <v>KARS</v>
      </c>
      <c r="J83" s="19" t="str">
        <f>IFERROR(VLOOKUP(F83,'Personel Bilgi'!A:E,5,0),"- - -")</f>
        <v>MÜŞTERİ TEMSİLCİSİ</v>
      </c>
      <c r="K83" s="19" t="s">
        <v>49</v>
      </c>
      <c r="L83" s="19" t="s">
        <v>41</v>
      </c>
      <c r="M83" s="21" t="s">
        <v>42</v>
      </c>
      <c r="N83" s="36">
        <v>45998</v>
      </c>
      <c r="O83" s="36">
        <v>45999</v>
      </c>
      <c r="P83" s="21" t="s">
        <v>81</v>
      </c>
      <c r="Q83" s="37" t="s">
        <v>735</v>
      </c>
      <c r="R83" s="21" t="s">
        <v>790</v>
      </c>
      <c r="S83" s="21" t="s">
        <v>92</v>
      </c>
      <c r="T83" s="21" t="s">
        <v>94</v>
      </c>
      <c r="U83" s="21">
        <v>0</v>
      </c>
      <c r="V83" s="21" t="s">
        <v>736</v>
      </c>
      <c r="W83" s="21">
        <v>210163</v>
      </c>
      <c r="X83" s="19" t="str">
        <f>IFERROR(VLOOKUP(W83,'Personel Bilgi'!A:B,2,0),"---")</f>
        <v>GIZEM CELIK</v>
      </c>
      <c r="Y83" s="19" t="str">
        <f>IFERROR(VLOOKUP(W83,'Personel Bilgi'!A:C,3,0),"---")</f>
        <v>YAREN OZAYAG</v>
      </c>
      <c r="Z83" s="22" t="s">
        <v>95</v>
      </c>
      <c r="AA83" s="22" t="s">
        <v>617</v>
      </c>
      <c r="AB83" s="22" t="s">
        <v>49</v>
      </c>
      <c r="AC83" s="22" t="s">
        <v>41</v>
      </c>
      <c r="AD83" s="22" t="s">
        <v>42</v>
      </c>
    </row>
    <row r="84" spans="1:30" x14ac:dyDescent="0.25">
      <c r="A84" s="19" t="s">
        <v>11</v>
      </c>
      <c r="B84" s="21" t="s">
        <v>845</v>
      </c>
      <c r="C84" s="21">
        <v>5389834117</v>
      </c>
      <c r="D84" s="21" t="s">
        <v>15</v>
      </c>
      <c r="E84" s="21" t="str">
        <f>IFERROR(VLOOKUP(D84,Tanımlar!C:D,2,0),"- - -")</f>
        <v>PERAKENDE</v>
      </c>
      <c r="F84" s="27">
        <v>111212</v>
      </c>
      <c r="G84" s="19" t="str">
        <f>IFERROR(VLOOKUP(F84,'Personel Bilgi'!A:B,2,0),"- - - ")</f>
        <v>TULIN ANCI</v>
      </c>
      <c r="H84" s="19" t="str">
        <f>IFERROR(VLOOKUP(F84,'Personel Bilgi'!A:D,3,0),"- - -")</f>
        <v>YAPRAK KARAKOC</v>
      </c>
      <c r="I84" s="19" t="str">
        <f>IFERROR(VLOOKUP(F84,'Personel Bilgi'!A:D,4,0),"- - -")</f>
        <v>KARS</v>
      </c>
      <c r="J84" s="19" t="str">
        <f>IFERROR(VLOOKUP(F84,'Personel Bilgi'!A:E,5,0),"- - -")</f>
        <v>MÜŞTERİ TEMSİLCİSİ</v>
      </c>
      <c r="K84" s="19" t="s">
        <v>70</v>
      </c>
      <c r="L84" s="19" t="s">
        <v>97</v>
      </c>
      <c r="M84" s="21" t="s">
        <v>734</v>
      </c>
      <c r="N84" s="36">
        <v>45995</v>
      </c>
      <c r="O84" s="36">
        <v>45999</v>
      </c>
      <c r="P84" s="19" t="s">
        <v>79</v>
      </c>
      <c r="Q84" s="37" t="s">
        <v>735</v>
      </c>
      <c r="R84" s="21" t="s">
        <v>790</v>
      </c>
      <c r="S84" s="21" t="s">
        <v>92</v>
      </c>
      <c r="T84" s="21" t="s">
        <v>94</v>
      </c>
      <c r="U84" s="21">
        <v>0</v>
      </c>
      <c r="V84" s="21" t="s">
        <v>736</v>
      </c>
      <c r="W84" s="21">
        <v>110938</v>
      </c>
      <c r="X84" s="19" t="str">
        <f>IFERROR(VLOOKUP(W84,'Personel Bilgi'!A:B,2,0),"---")</f>
        <v>MUHAMMED CAN SEFERTAS</v>
      </c>
      <c r="Y84" s="19" t="str">
        <f>IFERROR(VLOOKUP(W84,'Personel Bilgi'!A:C,3,0),"---")</f>
        <v>YAPRAK KARAKOC</v>
      </c>
      <c r="Z84" s="22" t="s">
        <v>95</v>
      </c>
      <c r="AA84" s="22" t="s">
        <v>617</v>
      </c>
      <c r="AB84" s="22" t="s">
        <v>70</v>
      </c>
      <c r="AC84" s="22" t="s">
        <v>97</v>
      </c>
      <c r="AD84" s="22" t="s">
        <v>734</v>
      </c>
    </row>
    <row r="85" spans="1:30" x14ac:dyDescent="0.25">
      <c r="A85" s="19" t="s">
        <v>11</v>
      </c>
      <c r="B85" s="22" t="s">
        <v>846</v>
      </c>
      <c r="C85" s="21">
        <v>5323498122</v>
      </c>
      <c r="D85" s="22" t="s">
        <v>15</v>
      </c>
      <c r="E85" s="21" t="str">
        <f>IFERROR(VLOOKUP(D85,Tanımlar!C:D,2,0),"- - -")</f>
        <v>PERAKENDE</v>
      </c>
      <c r="F85" s="27">
        <v>600604</v>
      </c>
      <c r="G85" s="19" t="str">
        <f>IFERROR(VLOOKUP(F85,'Personel Bilgi'!A:B,2,0),"- - - ")</f>
        <v>IPEK SERIFE ALTAY</v>
      </c>
      <c r="H85" s="19" t="str">
        <f>IFERROR(VLOOKUP(F85,'Personel Bilgi'!A:D,3,0),"- - -")</f>
        <v xml:space="preserve">İNAN UMUT ÖRNEK </v>
      </c>
      <c r="I85" s="19" t="str">
        <f>IFERROR(VLOOKUP(F85,'Personel Bilgi'!A:D,4,0),"- - -")</f>
        <v>ANKARA</v>
      </c>
      <c r="J85" s="19" t="str">
        <f>IFERROR(VLOOKUP(F85,'Personel Bilgi'!A:E,5,0),"- - -")</f>
        <v>MÜŞTERİ TEMSİLCİSİ</v>
      </c>
      <c r="K85" s="19" t="s">
        <v>52</v>
      </c>
      <c r="L85" s="19" t="s">
        <v>41</v>
      </c>
      <c r="M85" s="21" t="s">
        <v>44</v>
      </c>
      <c r="N85" s="36">
        <v>45995</v>
      </c>
      <c r="O85" s="36">
        <v>45999</v>
      </c>
      <c r="P85" s="19" t="s">
        <v>79</v>
      </c>
      <c r="Q85" s="37" t="s">
        <v>735</v>
      </c>
      <c r="R85" s="21" t="s">
        <v>790</v>
      </c>
      <c r="S85" s="21" t="s">
        <v>92</v>
      </c>
      <c r="T85" s="21" t="s">
        <v>94</v>
      </c>
      <c r="U85" s="21">
        <v>0</v>
      </c>
      <c r="V85" s="21" t="s">
        <v>736</v>
      </c>
      <c r="W85" s="21">
        <v>600455</v>
      </c>
      <c r="X85" s="19" t="str">
        <f>IFERROR(VLOOKUP(W85,'Personel Bilgi'!A:B,2,0),"---")</f>
        <v>VUSLAT UNAL</v>
      </c>
      <c r="Y85" s="19" t="str">
        <f>IFERROR(VLOOKUP(W85,'Personel Bilgi'!A:C,3,0),"---")</f>
        <v>GORKEM SERT</v>
      </c>
      <c r="Z85" s="22" t="s">
        <v>94</v>
      </c>
      <c r="AA85" s="22" t="s">
        <v>616</v>
      </c>
      <c r="AB85" s="22" t="s">
        <v>52</v>
      </c>
      <c r="AC85" s="22" t="s">
        <v>41</v>
      </c>
      <c r="AD85" s="22" t="s">
        <v>44</v>
      </c>
    </row>
    <row r="86" spans="1:30" x14ac:dyDescent="0.25">
      <c r="A86" s="19" t="s">
        <v>11</v>
      </c>
      <c r="B86" s="22" t="s">
        <v>847</v>
      </c>
      <c r="C86" s="21">
        <v>5414475842</v>
      </c>
      <c r="D86" s="22" t="s">
        <v>15</v>
      </c>
      <c r="E86" s="21" t="str">
        <f>IFERROR(VLOOKUP(D86,Tanımlar!C:D,2,0),"- - -")</f>
        <v>PERAKENDE</v>
      </c>
      <c r="F86" s="27">
        <v>600506</v>
      </c>
      <c r="G86" s="19" t="str">
        <f>IFERROR(VLOOKUP(F86,'Personel Bilgi'!A:B,2,0),"- - - ")</f>
        <v>NURAY ARLI</v>
      </c>
      <c r="H86" s="19" t="str">
        <f>IFERROR(VLOOKUP(F86,'Personel Bilgi'!A:D,3,0),"- - -")</f>
        <v xml:space="preserve">İNAN UMUT ÖRNEK </v>
      </c>
      <c r="I86" s="19" t="str">
        <f>IFERROR(VLOOKUP(F86,'Personel Bilgi'!A:D,4,0),"- - -")</f>
        <v>ANKARA</v>
      </c>
      <c r="J86" s="19" t="str">
        <f>IFERROR(VLOOKUP(F86,'Personel Bilgi'!A:E,5,0),"- - -")</f>
        <v>TAKIM LİDERİ</v>
      </c>
      <c r="K86" s="19" t="s">
        <v>66</v>
      </c>
      <c r="L86" s="19" t="s">
        <v>97</v>
      </c>
      <c r="M86" s="21" t="s">
        <v>734</v>
      </c>
      <c r="N86" s="36">
        <v>45995</v>
      </c>
      <c r="O86" s="36">
        <v>45999</v>
      </c>
      <c r="P86" s="21" t="s">
        <v>81</v>
      </c>
      <c r="Q86" s="37" t="s">
        <v>735</v>
      </c>
      <c r="R86" s="21" t="s">
        <v>790</v>
      </c>
      <c r="S86" s="21" t="s">
        <v>92</v>
      </c>
      <c r="T86" s="21" t="s">
        <v>95</v>
      </c>
      <c r="U86" s="21">
        <v>76</v>
      </c>
      <c r="V86" s="21" t="s">
        <v>736</v>
      </c>
      <c r="W86" s="27">
        <v>600506</v>
      </c>
      <c r="X86" s="19" t="s">
        <v>554</v>
      </c>
      <c r="Y86" s="19" t="s">
        <v>751</v>
      </c>
      <c r="Z86" s="22" t="s">
        <v>94</v>
      </c>
      <c r="AA86" s="22" t="s">
        <v>616</v>
      </c>
      <c r="AB86" s="22" t="s">
        <v>66</v>
      </c>
      <c r="AC86" s="22" t="s">
        <v>97</v>
      </c>
      <c r="AD86" s="22" t="s">
        <v>734</v>
      </c>
    </row>
    <row r="87" spans="1:30" x14ac:dyDescent="0.25">
      <c r="A87" s="19" t="s">
        <v>11</v>
      </c>
      <c r="B87" s="22" t="s">
        <v>848</v>
      </c>
      <c r="C87" s="21">
        <v>5336983288</v>
      </c>
      <c r="D87" s="22" t="s">
        <v>15</v>
      </c>
      <c r="E87" s="21" t="str">
        <f>IFERROR(VLOOKUP(D87,Tanımlar!C:D,2,0),"- - -")</f>
        <v>PERAKENDE</v>
      </c>
      <c r="F87" s="27">
        <v>600721</v>
      </c>
      <c r="G87" s="19" t="str">
        <f>IFERROR(VLOOKUP(F87,'Personel Bilgi'!A:B,2,0),"- - - ")</f>
        <v>ESRA SONMEZ</v>
      </c>
      <c r="H87" s="19" t="str">
        <f>IFERROR(VLOOKUP(F87,'Personel Bilgi'!A:D,3,0),"- - -")</f>
        <v>BUSRA OLCULMUS</v>
      </c>
      <c r="I87" s="19" t="str">
        <f>IFERROR(VLOOKUP(F87,'Personel Bilgi'!A:D,4,0),"- - -")</f>
        <v>ANKARA</v>
      </c>
      <c r="J87" s="19" t="str">
        <f>IFERROR(VLOOKUP(F87,'Personel Bilgi'!A:E,5,0),"- - -")</f>
        <v>MÜŞTERİ TEMSİLCİSİ</v>
      </c>
      <c r="K87" s="19" t="s">
        <v>66</v>
      </c>
      <c r="L87" s="19" t="s">
        <v>97</v>
      </c>
      <c r="M87" s="21" t="s">
        <v>734</v>
      </c>
      <c r="N87" s="36">
        <v>45996</v>
      </c>
      <c r="O87" s="36">
        <v>45999</v>
      </c>
      <c r="P87" s="21" t="s">
        <v>1145</v>
      </c>
      <c r="Q87" s="37" t="s">
        <v>735</v>
      </c>
      <c r="R87" s="21" t="s">
        <v>790</v>
      </c>
      <c r="S87" s="21" t="s">
        <v>92</v>
      </c>
      <c r="T87" s="21" t="s">
        <v>94</v>
      </c>
      <c r="U87" s="21">
        <v>0</v>
      </c>
      <c r="V87" s="21" t="s">
        <v>736</v>
      </c>
      <c r="W87" s="21">
        <v>111205</v>
      </c>
      <c r="X87" s="19" t="str">
        <f>IFERROR(VLOOKUP(W87,'Personel Bilgi'!A:B,2,0),"---")</f>
        <v>ESRA ATMACA</v>
      </c>
      <c r="Y87" s="19" t="str">
        <f>IFERROR(VLOOKUP(W87,'Personel Bilgi'!A:C,3,0),"---")</f>
        <v>MUHAMMET AKSU</v>
      </c>
      <c r="Z87" s="22" t="s">
        <v>95</v>
      </c>
      <c r="AA87" s="22" t="s">
        <v>617</v>
      </c>
      <c r="AB87" s="22" t="s">
        <v>66</v>
      </c>
      <c r="AC87" s="22" t="s">
        <v>97</v>
      </c>
      <c r="AD87" s="22" t="s">
        <v>734</v>
      </c>
    </row>
    <row r="88" spans="1:30" x14ac:dyDescent="0.25">
      <c r="A88" s="19" t="s">
        <v>11</v>
      </c>
      <c r="B88" s="22" t="s">
        <v>849</v>
      </c>
      <c r="C88" s="21">
        <v>5347811781</v>
      </c>
      <c r="D88" s="22" t="s">
        <v>15</v>
      </c>
      <c r="E88" s="21" t="str">
        <f>IFERROR(VLOOKUP(D88,Tanımlar!C:D,2,0),"- - -")</f>
        <v>PERAKENDE</v>
      </c>
      <c r="F88" s="27">
        <v>600612</v>
      </c>
      <c r="G88" s="19" t="str">
        <f>IFERROR(VLOOKUP(F88,'Personel Bilgi'!A:B,2,0),"- - - ")</f>
        <v>ZEYNEP ULUSOY</v>
      </c>
      <c r="H88" s="19" t="str">
        <f>IFERROR(VLOOKUP(F88,'Personel Bilgi'!A:D,3,0),"- - -")</f>
        <v>ASYA DAG</v>
      </c>
      <c r="I88" s="19" t="str">
        <f>IFERROR(VLOOKUP(F88,'Personel Bilgi'!A:D,4,0),"- - -")</f>
        <v>ANKARA</v>
      </c>
      <c r="J88" s="19" t="str">
        <f>IFERROR(VLOOKUP(F88,'Personel Bilgi'!A:E,5,0),"- - -")</f>
        <v>MÜŞTERİ TEMSİLCİSİ</v>
      </c>
      <c r="K88" s="19" t="s">
        <v>66</v>
      </c>
      <c r="L88" s="19" t="s">
        <v>97</v>
      </c>
      <c r="M88" s="21" t="s">
        <v>21</v>
      </c>
      <c r="N88" s="36">
        <v>45997</v>
      </c>
      <c r="O88" s="36">
        <v>46000</v>
      </c>
      <c r="P88" s="21" t="s">
        <v>1145</v>
      </c>
      <c r="Q88" s="37" t="s">
        <v>735</v>
      </c>
      <c r="R88" s="21" t="s">
        <v>790</v>
      </c>
      <c r="S88" s="21" t="s">
        <v>92</v>
      </c>
      <c r="T88" s="21" t="s">
        <v>94</v>
      </c>
      <c r="U88" s="21">
        <v>0</v>
      </c>
      <c r="V88" s="21" t="s">
        <v>736</v>
      </c>
      <c r="W88" s="27">
        <v>600612</v>
      </c>
      <c r="X88" s="19" t="str">
        <f>IFERROR(VLOOKUP(W88,'Personel Bilgi'!A:B,2,0),"---")</f>
        <v>ZEYNEP ULUSOY</v>
      </c>
      <c r="Y88" s="19" t="str">
        <f>IFERROR(VLOOKUP(W88,'Personel Bilgi'!A:C,3,0),"---")</f>
        <v>ASYA DAG</v>
      </c>
      <c r="Z88" s="22" t="s">
        <v>94</v>
      </c>
      <c r="AA88" s="22" t="s">
        <v>616</v>
      </c>
      <c r="AB88" s="22" t="s">
        <v>66</v>
      </c>
      <c r="AC88" s="22" t="s">
        <v>97</v>
      </c>
      <c r="AD88" s="22" t="s">
        <v>21</v>
      </c>
    </row>
    <row r="89" spans="1:30" x14ac:dyDescent="0.25">
      <c r="A89" s="19" t="s">
        <v>11</v>
      </c>
      <c r="B89" s="22" t="s">
        <v>850</v>
      </c>
      <c r="C89" s="21">
        <v>5547508168</v>
      </c>
      <c r="D89" s="21" t="s">
        <v>12</v>
      </c>
      <c r="E89" s="21" t="str">
        <f>IFERROR(VLOOKUP(D89,Tanımlar!C:D,2,0),"- - -")</f>
        <v>DAĞITIM</v>
      </c>
      <c r="F89" s="27">
        <v>500113</v>
      </c>
      <c r="G89" s="19" t="str">
        <f>IFERROR(VLOOKUP(F89,'Personel Bilgi'!A:B,2,0),"- - - ")</f>
        <v>SENA DEMIR</v>
      </c>
      <c r="H89" s="19" t="str">
        <f>IFERROR(VLOOKUP(F89,'Personel Bilgi'!A:D,3,0),"- - -")</f>
        <v>METEHAN EMRE SIRMALI</v>
      </c>
      <c r="I89" s="19" t="str">
        <f>IFERROR(VLOOKUP(F89,'Personel Bilgi'!A:D,4,0),"- - -")</f>
        <v>ERZURUM</v>
      </c>
      <c r="J89" s="19" t="str">
        <f>IFERROR(VLOOKUP(F89,'Personel Bilgi'!A:E,5,0),"- - -")</f>
        <v>MÜŞTERİ TEMSİLCİSİ</v>
      </c>
      <c r="K89" s="19" t="s">
        <v>49</v>
      </c>
      <c r="L89" s="19" t="s">
        <v>97</v>
      </c>
      <c r="M89" s="21" t="s">
        <v>734</v>
      </c>
      <c r="N89" s="36">
        <v>45997</v>
      </c>
      <c r="O89" s="36">
        <v>46000</v>
      </c>
      <c r="P89" s="21" t="s">
        <v>1145</v>
      </c>
      <c r="Q89" s="37" t="s">
        <v>735</v>
      </c>
      <c r="R89" s="21" t="s">
        <v>790</v>
      </c>
      <c r="S89" s="21" t="s">
        <v>92</v>
      </c>
      <c r="T89" s="21" t="s">
        <v>94</v>
      </c>
      <c r="U89" s="21">
        <v>0</v>
      </c>
      <c r="V89" s="21" t="s">
        <v>736</v>
      </c>
      <c r="W89" s="21">
        <v>111253</v>
      </c>
      <c r="X89" s="19" t="str">
        <f>IFERROR(VLOOKUP(W89,'Personel Bilgi'!A:B,2,0),"---")</f>
        <v>TUGBA ALTUNOK</v>
      </c>
      <c r="Y89" s="19" t="str">
        <f>IFERROR(VLOOKUP(W89,'Personel Bilgi'!A:C,3,0),"---")</f>
        <v>YAPRAK KARAKOC</v>
      </c>
      <c r="Z89" s="22" t="s">
        <v>95</v>
      </c>
      <c r="AA89" s="22" t="s">
        <v>617</v>
      </c>
      <c r="AB89" s="22" t="s">
        <v>49</v>
      </c>
      <c r="AC89" s="22" t="s">
        <v>97</v>
      </c>
      <c r="AD89" s="22" t="s">
        <v>734</v>
      </c>
    </row>
    <row r="90" spans="1:30" x14ac:dyDescent="0.25">
      <c r="A90" s="19" t="s">
        <v>11</v>
      </c>
      <c r="B90" s="22" t="s">
        <v>851</v>
      </c>
      <c r="C90" s="21">
        <v>5435220740</v>
      </c>
      <c r="D90" s="21" t="s">
        <v>12</v>
      </c>
      <c r="E90" s="21" t="str">
        <f>IFERROR(VLOOKUP(D90,Tanımlar!C:D,2,0),"- - -")</f>
        <v>DAĞITIM</v>
      </c>
      <c r="F90" s="27">
        <v>500057</v>
      </c>
      <c r="G90" s="19" t="str">
        <f>IFERROR(VLOOKUP(F90,'Personel Bilgi'!A:B,2,0),"- - - ")</f>
        <v>SAMET KOCABEYOGLU</v>
      </c>
      <c r="H90" s="19" t="s">
        <v>389</v>
      </c>
      <c r="I90" s="19" t="str">
        <f>IFERROR(VLOOKUP(F90,'Personel Bilgi'!A:D,4,0),"- - -")</f>
        <v>ERZURUM</v>
      </c>
      <c r="J90" s="19" t="str">
        <f>IFERROR(VLOOKUP(F90,'Personel Bilgi'!A:E,5,0),"- - -")</f>
        <v>MÜŞTERİ TEMSİLCİSİ</v>
      </c>
      <c r="K90" s="19" t="s">
        <v>49</v>
      </c>
      <c r="L90" s="19" t="s">
        <v>97</v>
      </c>
      <c r="M90" s="21" t="s">
        <v>734</v>
      </c>
      <c r="N90" s="36">
        <v>45999</v>
      </c>
      <c r="O90" s="36">
        <v>46000</v>
      </c>
      <c r="P90" s="21" t="s">
        <v>81</v>
      </c>
      <c r="Q90" s="37" t="s">
        <v>735</v>
      </c>
      <c r="R90" s="21" t="s">
        <v>790</v>
      </c>
      <c r="S90" s="21" t="s">
        <v>93</v>
      </c>
      <c r="T90" s="21" t="s">
        <v>95</v>
      </c>
      <c r="U90" s="21" t="s">
        <v>735</v>
      </c>
      <c r="V90" s="21" t="s">
        <v>736</v>
      </c>
      <c r="W90" s="21">
        <v>500024</v>
      </c>
      <c r="X90" s="19" t="str">
        <f>IFERROR(VLOOKUP(W90,'Personel Bilgi'!A:B,2,0),"---")</f>
        <v>MERVE URUK</v>
      </c>
      <c r="Y90" s="19" t="str">
        <f>IFERROR(VLOOKUP(W90,'Personel Bilgi'!A:C,3,0),"---")</f>
        <v>ERDOGAN DURUK</v>
      </c>
      <c r="Z90" s="22" t="s">
        <v>95</v>
      </c>
      <c r="AA90" s="22" t="s">
        <v>617</v>
      </c>
      <c r="AB90" s="22" t="s">
        <v>49</v>
      </c>
      <c r="AC90" s="22" t="s">
        <v>97</v>
      </c>
      <c r="AD90" s="22" t="s">
        <v>734</v>
      </c>
    </row>
    <row r="91" spans="1:30" x14ac:dyDescent="0.25">
      <c r="A91" s="19" t="s">
        <v>11</v>
      </c>
      <c r="B91" s="22" t="s">
        <v>852</v>
      </c>
      <c r="C91" s="21">
        <v>5523248951</v>
      </c>
      <c r="D91" s="21" t="s">
        <v>12</v>
      </c>
      <c r="E91" s="21" t="str">
        <f>IFERROR(VLOOKUP(D91,Tanımlar!C:D,2,0),"- - -")</f>
        <v>DAĞITIM</v>
      </c>
      <c r="F91" s="27">
        <v>500128</v>
      </c>
      <c r="G91" s="19" t="str">
        <f>IFERROR(VLOOKUP(F91,'Personel Bilgi'!A:B,2,0),"- - - ")</f>
        <v>NILUFER HAZAN CIFCI</v>
      </c>
      <c r="H91" s="19" t="str">
        <f>IFERROR(VLOOKUP(F91,'Personel Bilgi'!A:D,3,0),"- - -")</f>
        <v>SAMET KOCABEYOGLU</v>
      </c>
      <c r="I91" s="19" t="str">
        <f>IFERROR(VLOOKUP(F91,'Personel Bilgi'!A:D,4,0),"- - -")</f>
        <v>ERZURUM</v>
      </c>
      <c r="J91" s="19" t="str">
        <f>IFERROR(VLOOKUP(F91,'Personel Bilgi'!A:E,5,0),"- - -")</f>
        <v>MÜŞTERİ TEMSİLCİSİ</v>
      </c>
      <c r="K91" s="19" t="s">
        <v>49</v>
      </c>
      <c r="L91" s="19" t="s">
        <v>96</v>
      </c>
      <c r="M91" s="21" t="s">
        <v>40</v>
      </c>
      <c r="N91" s="36">
        <v>45999</v>
      </c>
      <c r="O91" s="36">
        <v>46000</v>
      </c>
      <c r="P91" s="21" t="s">
        <v>81</v>
      </c>
      <c r="Q91" s="37" t="s">
        <v>735</v>
      </c>
      <c r="R91" s="21" t="s">
        <v>790</v>
      </c>
      <c r="S91" s="21" t="s">
        <v>92</v>
      </c>
      <c r="T91" s="21" t="s">
        <v>95</v>
      </c>
      <c r="U91" s="21">
        <v>100</v>
      </c>
      <c r="V91" s="21" t="s">
        <v>736</v>
      </c>
      <c r="W91" s="21">
        <v>500048</v>
      </c>
      <c r="X91" s="19" t="str">
        <f>IFERROR(VLOOKUP(W91,'Personel Bilgi'!A:B,2,0),"---")</f>
        <v>FATMA NUR TASBASI</v>
      </c>
      <c r="Y91" s="19" t="str">
        <f>IFERROR(VLOOKUP(W91,'Personel Bilgi'!A:C,3,0),"---")</f>
        <v>MEHMET ALI SAVAN</v>
      </c>
      <c r="Z91" s="22" t="s">
        <v>95</v>
      </c>
      <c r="AA91" s="22" t="s">
        <v>617</v>
      </c>
      <c r="AB91" s="22" t="s">
        <v>49</v>
      </c>
      <c r="AC91" s="22" t="s">
        <v>96</v>
      </c>
      <c r="AD91" s="22" t="s">
        <v>40</v>
      </c>
    </row>
    <row r="92" spans="1:30" x14ac:dyDescent="0.25">
      <c r="A92" s="19" t="s">
        <v>11</v>
      </c>
      <c r="B92" s="22" t="s">
        <v>853</v>
      </c>
      <c r="C92" s="21">
        <v>5330921482</v>
      </c>
      <c r="D92" s="21" t="s">
        <v>14</v>
      </c>
      <c r="E92" s="21" t="str">
        <f>IFERROR(VLOOKUP(D92,Tanımlar!C:D,2,0),"- - -")</f>
        <v>DAĞITIM</v>
      </c>
      <c r="F92" s="21">
        <v>500143</v>
      </c>
      <c r="G92" s="19" t="str">
        <f>IFERROR(VLOOKUP(F92,'Personel Bilgi'!A:B,2,0),"- - - ")</f>
        <v>AYDANUR TANAS</v>
      </c>
      <c r="H92" s="19" t="str">
        <f>IFERROR(VLOOKUP(F92,'Personel Bilgi'!A:D,3,0),"- - -")</f>
        <v>KURSAD TERCANLI</v>
      </c>
      <c r="I92" s="19" t="str">
        <f>IFERROR(VLOOKUP(F92,'Personel Bilgi'!A:D,4,0),"- - -")</f>
        <v>ERZURUM</v>
      </c>
      <c r="J92" s="19" t="str">
        <f>IFERROR(VLOOKUP(F92,'Personel Bilgi'!A:E,5,0),"- - -")</f>
        <v>MÜŞTERİ TEMSİLCİSİ</v>
      </c>
      <c r="K92" s="19" t="s">
        <v>54</v>
      </c>
      <c r="L92" s="19" t="s">
        <v>96</v>
      </c>
      <c r="M92" s="21" t="s">
        <v>36</v>
      </c>
      <c r="N92" s="36">
        <v>45996</v>
      </c>
      <c r="O92" s="36">
        <v>46000</v>
      </c>
      <c r="P92" s="21" t="s">
        <v>1145</v>
      </c>
      <c r="Q92" s="37" t="s">
        <v>735</v>
      </c>
      <c r="R92" s="21" t="s">
        <v>790</v>
      </c>
      <c r="S92" s="21" t="s">
        <v>92</v>
      </c>
      <c r="T92" s="21" t="s">
        <v>94</v>
      </c>
      <c r="U92" s="21">
        <v>0</v>
      </c>
      <c r="V92" s="21" t="s">
        <v>736</v>
      </c>
      <c r="W92" s="21">
        <v>500141</v>
      </c>
      <c r="X92" s="19" t="str">
        <f>IFERROR(VLOOKUP(W92,'Personel Bilgi'!A:B,2,0),"---")</f>
        <v>ZIHNI AKPINAR</v>
      </c>
      <c r="Y92" s="19" t="str">
        <f>IFERROR(VLOOKUP(W92,'Personel Bilgi'!A:C,3,0),"---")</f>
        <v>SAMET KOCABEYOGLU</v>
      </c>
      <c r="Z92" s="22" t="s">
        <v>94</v>
      </c>
      <c r="AA92" s="22" t="s">
        <v>616</v>
      </c>
      <c r="AB92" s="22" t="s">
        <v>54</v>
      </c>
      <c r="AC92" s="22" t="s">
        <v>96</v>
      </c>
      <c r="AD92" s="22" t="s">
        <v>36</v>
      </c>
    </row>
    <row r="93" spans="1:30" x14ac:dyDescent="0.25">
      <c r="A93" s="19" t="s">
        <v>11</v>
      </c>
      <c r="B93" s="22" t="s">
        <v>854</v>
      </c>
      <c r="C93" s="21">
        <v>5363133143</v>
      </c>
      <c r="D93" s="21" t="s">
        <v>14</v>
      </c>
      <c r="E93" s="21" t="str">
        <f>IFERROR(VLOOKUP(D93,Tanımlar!C:D,2,0),"- - -")</f>
        <v>DAĞITIM</v>
      </c>
      <c r="F93" s="21">
        <v>500172</v>
      </c>
      <c r="G93" s="19" t="str">
        <f>IFERROR(VLOOKUP(F93,'Personel Bilgi'!A:B,2,0),"- - - ")</f>
        <v>CANPOLAT SENTURK</v>
      </c>
      <c r="H93" s="19" t="str">
        <f>IFERROR(VLOOKUP(F93,'Personel Bilgi'!A:D,3,0),"- - -")</f>
        <v>ERDOGAN DURUK</v>
      </c>
      <c r="I93" s="19" t="str">
        <f>IFERROR(VLOOKUP(F93,'Personel Bilgi'!A:D,4,0),"- - -")</f>
        <v>ERZURUM</v>
      </c>
      <c r="J93" s="19" t="str">
        <f>IFERROR(VLOOKUP(F93,'Personel Bilgi'!A:E,5,0),"- - -")</f>
        <v>MÜŞTERİ TEMSİLCİSİ</v>
      </c>
      <c r="K93" s="19" t="s">
        <v>49</v>
      </c>
      <c r="L93" s="19" t="s">
        <v>41</v>
      </c>
      <c r="M93" s="21" t="s">
        <v>42</v>
      </c>
      <c r="N93" s="36">
        <v>45999</v>
      </c>
      <c r="O93" s="36">
        <v>46000</v>
      </c>
      <c r="P93" s="21" t="s">
        <v>81</v>
      </c>
      <c r="Q93" s="37" t="s">
        <v>735</v>
      </c>
      <c r="R93" s="21" t="s">
        <v>790</v>
      </c>
      <c r="S93" s="21" t="s">
        <v>92</v>
      </c>
      <c r="T93" s="21" t="s">
        <v>94</v>
      </c>
      <c r="U93" s="21">
        <v>0</v>
      </c>
      <c r="V93" s="21" t="s">
        <v>736</v>
      </c>
      <c r="W93" s="21">
        <v>600455</v>
      </c>
      <c r="X93" s="19" t="str">
        <f>IFERROR(VLOOKUP(W93,'Personel Bilgi'!A:B,2,0),"---")</f>
        <v>VUSLAT UNAL</v>
      </c>
      <c r="Y93" s="19" t="str">
        <f>IFERROR(VLOOKUP(W93,'Personel Bilgi'!A:C,3,0),"---")</f>
        <v>GORKEM SERT</v>
      </c>
      <c r="Z93" s="22" t="s">
        <v>95</v>
      </c>
      <c r="AA93" s="22" t="s">
        <v>617</v>
      </c>
      <c r="AB93" s="22" t="s">
        <v>49</v>
      </c>
      <c r="AC93" s="22" t="s">
        <v>41</v>
      </c>
      <c r="AD93" s="22" t="s">
        <v>42</v>
      </c>
    </row>
    <row r="94" spans="1:30" x14ac:dyDescent="0.25">
      <c r="A94" s="19" t="s">
        <v>11</v>
      </c>
      <c r="B94" s="22" t="s">
        <v>855</v>
      </c>
      <c r="C94" s="21">
        <v>5306067354</v>
      </c>
      <c r="D94" s="21" t="s">
        <v>14</v>
      </c>
      <c r="E94" s="21" t="str">
        <f>IFERROR(VLOOKUP(D94,Tanımlar!C:D,2,0),"- - -")</f>
        <v>DAĞITIM</v>
      </c>
      <c r="F94" s="21">
        <v>500145</v>
      </c>
      <c r="G94" s="19" t="str">
        <f>IFERROR(VLOOKUP(F94,'Personel Bilgi'!A:B,2,0),"- - - ")</f>
        <v>BELMA ONAL</v>
      </c>
      <c r="H94" s="19" t="str">
        <f>IFERROR(VLOOKUP(F94,'Personel Bilgi'!A:D,3,0),"- - -")</f>
        <v>KURSAD TERCANLI</v>
      </c>
      <c r="I94" s="19" t="str">
        <f>IFERROR(VLOOKUP(F94,'Personel Bilgi'!A:D,4,0),"- - -")</f>
        <v>ERZURUM</v>
      </c>
      <c r="J94" s="19" t="str">
        <f>IFERROR(VLOOKUP(F94,'Personel Bilgi'!A:E,5,0),"- - -")</f>
        <v>MÜŞTERİ TEMSİLCİSİ</v>
      </c>
      <c r="K94" s="19" t="s">
        <v>49</v>
      </c>
      <c r="L94" s="19" t="s">
        <v>96</v>
      </c>
      <c r="M94" s="21" t="s">
        <v>40</v>
      </c>
      <c r="N94" s="36">
        <v>45999</v>
      </c>
      <c r="O94" s="36">
        <v>46000</v>
      </c>
      <c r="P94" s="21" t="s">
        <v>81</v>
      </c>
      <c r="Q94" s="37" t="s">
        <v>735</v>
      </c>
      <c r="R94" s="21" t="s">
        <v>790</v>
      </c>
      <c r="S94" s="21" t="s">
        <v>92</v>
      </c>
      <c r="T94" s="21" t="s">
        <v>95</v>
      </c>
      <c r="U94" s="21">
        <v>80</v>
      </c>
      <c r="V94" s="21" t="s">
        <v>736</v>
      </c>
      <c r="W94" s="21">
        <v>500128</v>
      </c>
      <c r="X94" s="19" t="str">
        <f>IFERROR(VLOOKUP(W94,'Personel Bilgi'!A:B,2,0),"---")</f>
        <v>NILUFER HAZAN CIFCI</v>
      </c>
      <c r="Y94" s="19" t="str">
        <f>IFERROR(VLOOKUP(W94,'Personel Bilgi'!A:C,3,0),"---")</f>
        <v>SAMET KOCABEYOGLU</v>
      </c>
      <c r="Z94" s="22" t="s">
        <v>95</v>
      </c>
      <c r="AA94" s="22" t="s">
        <v>617</v>
      </c>
      <c r="AB94" s="22" t="s">
        <v>49</v>
      </c>
      <c r="AC94" s="22" t="s">
        <v>96</v>
      </c>
      <c r="AD94" s="22" t="s">
        <v>40</v>
      </c>
    </row>
    <row r="95" spans="1:30" x14ac:dyDescent="0.25">
      <c r="A95" s="19" t="s">
        <v>11</v>
      </c>
      <c r="B95" s="22" t="s">
        <v>856</v>
      </c>
      <c r="C95" s="21">
        <v>5317117084</v>
      </c>
      <c r="D95" s="21" t="s">
        <v>14</v>
      </c>
      <c r="E95" s="21" t="str">
        <f>IFERROR(VLOOKUP(D95,Tanımlar!C:D,2,0),"- - -")</f>
        <v>DAĞITIM</v>
      </c>
      <c r="F95" s="21">
        <v>600453</v>
      </c>
      <c r="G95" s="19" t="str">
        <f>IFERROR(VLOOKUP(F95,'Personel Bilgi'!A:B,2,0),"- - - ")</f>
        <v>SEMA NUR KUPCU</v>
      </c>
      <c r="H95" s="19" t="str">
        <f>IFERROR(VLOOKUP(F95,'Personel Bilgi'!A:D,3,0),"- - -")</f>
        <v>GORKEM SERT</v>
      </c>
      <c r="I95" s="19" t="str">
        <f>IFERROR(VLOOKUP(F95,'Personel Bilgi'!A:D,4,0),"- - -")</f>
        <v>ANKARA</v>
      </c>
      <c r="J95" s="19" t="str">
        <f>IFERROR(VLOOKUP(F95,'Personel Bilgi'!A:E,5,0),"- - -")</f>
        <v>MÜŞTERİ TEMSİLCİSİ</v>
      </c>
      <c r="K95" s="19" t="s">
        <v>49</v>
      </c>
      <c r="L95" s="19" t="s">
        <v>97</v>
      </c>
      <c r="M95" s="21" t="s">
        <v>26</v>
      </c>
      <c r="N95" s="36">
        <v>45999</v>
      </c>
      <c r="O95" s="36">
        <v>46000</v>
      </c>
      <c r="P95" s="21" t="s">
        <v>1145</v>
      </c>
      <c r="Q95" s="37" t="s">
        <v>735</v>
      </c>
      <c r="R95" s="21" t="s">
        <v>790</v>
      </c>
      <c r="S95" s="21" t="s">
        <v>92</v>
      </c>
      <c r="T95" s="21" t="s">
        <v>94</v>
      </c>
      <c r="U95" s="21">
        <v>0</v>
      </c>
      <c r="V95" s="21" t="s">
        <v>736</v>
      </c>
      <c r="W95" s="21">
        <v>500160</v>
      </c>
      <c r="X95" s="19" t="str">
        <f>IFERROR(VLOOKUP(W95,'Personel Bilgi'!A:B,2,0),"---")</f>
        <v>MERVE NUR KOTAN</v>
      </c>
      <c r="Y95" s="19" t="str">
        <f>IFERROR(VLOOKUP(W95,'Personel Bilgi'!A:C,3,0),"---")</f>
        <v>KURSAD TERCANLI</v>
      </c>
      <c r="Z95" s="22" t="s">
        <v>95</v>
      </c>
      <c r="AA95" s="22" t="s">
        <v>617</v>
      </c>
      <c r="AB95" s="22" t="s">
        <v>49</v>
      </c>
      <c r="AC95" s="22" t="s">
        <v>97</v>
      </c>
      <c r="AD95" s="22" t="s">
        <v>26</v>
      </c>
    </row>
    <row r="96" spans="1:30" x14ac:dyDescent="0.25">
      <c r="A96" s="19" t="s">
        <v>11</v>
      </c>
      <c r="B96" s="22" t="s">
        <v>857</v>
      </c>
      <c r="C96" s="21">
        <v>5416893449</v>
      </c>
      <c r="D96" s="21" t="s">
        <v>14</v>
      </c>
      <c r="E96" s="21" t="str">
        <f>IFERROR(VLOOKUP(D96,Tanımlar!C:D,2,0),"- - -")</f>
        <v>DAĞITIM</v>
      </c>
      <c r="F96" s="21">
        <v>600611</v>
      </c>
      <c r="G96" s="19" t="str">
        <f>IFERROR(VLOOKUP(F96,'Personel Bilgi'!A:B,2,0),"- - - ")</f>
        <v>ZEYNEP KOC</v>
      </c>
      <c r="H96" s="19" t="str">
        <f>IFERROR(VLOOKUP(F96,'Personel Bilgi'!A:D,3,0),"- - -")</f>
        <v>FERHAT DEMIR</v>
      </c>
      <c r="I96" s="19" t="str">
        <f>IFERROR(VLOOKUP(F96,'Personel Bilgi'!A:D,4,0),"- - -")</f>
        <v>ANKARA</v>
      </c>
      <c r="J96" s="19" t="str">
        <f>IFERROR(VLOOKUP(F96,'Personel Bilgi'!A:E,5,0),"- - -")</f>
        <v>MÜŞTERİ TEMSİLCİSİ</v>
      </c>
      <c r="K96" s="19" t="s">
        <v>49</v>
      </c>
      <c r="L96" s="19" t="s">
        <v>41</v>
      </c>
      <c r="M96" s="21" t="s">
        <v>42</v>
      </c>
      <c r="N96" s="36">
        <v>45998</v>
      </c>
      <c r="O96" s="36">
        <v>46000</v>
      </c>
      <c r="P96" s="21" t="s">
        <v>81</v>
      </c>
      <c r="Q96" s="37" t="s">
        <v>735</v>
      </c>
      <c r="R96" s="21" t="s">
        <v>790</v>
      </c>
      <c r="S96" s="21" t="s">
        <v>92</v>
      </c>
      <c r="T96" s="21" t="s">
        <v>95</v>
      </c>
      <c r="U96" s="21">
        <v>96</v>
      </c>
      <c r="V96" s="21" t="s">
        <v>736</v>
      </c>
      <c r="W96" s="21">
        <v>500061</v>
      </c>
      <c r="X96" s="19" t="str">
        <f>IFERROR(VLOOKUP(W96,'Personel Bilgi'!A:B,2,0),"---")</f>
        <v>YASIN CAKAR</v>
      </c>
      <c r="Y96" s="19" t="str">
        <f>IFERROR(VLOOKUP(W96,'Personel Bilgi'!A:C,3,0),"---")</f>
        <v>MEHMET ALI SAVAN</v>
      </c>
      <c r="Z96" s="22" t="s">
        <v>95</v>
      </c>
      <c r="AA96" s="22" t="s">
        <v>617</v>
      </c>
      <c r="AB96" s="22" t="s">
        <v>49</v>
      </c>
      <c r="AC96" s="22" t="s">
        <v>41</v>
      </c>
      <c r="AD96" s="22" t="s">
        <v>42</v>
      </c>
    </row>
    <row r="97" spans="1:30" x14ac:dyDescent="0.25">
      <c r="A97" s="19" t="s">
        <v>11</v>
      </c>
      <c r="B97" s="22" t="s">
        <v>858</v>
      </c>
      <c r="C97" s="21">
        <v>5333004516</v>
      </c>
      <c r="D97" s="21" t="s">
        <v>14</v>
      </c>
      <c r="E97" s="21" t="str">
        <f>IFERROR(VLOOKUP(D97,Tanımlar!C:D,2,0),"- - -")</f>
        <v>DAĞITIM</v>
      </c>
      <c r="F97" s="21">
        <v>500177</v>
      </c>
      <c r="G97" s="19" t="str">
        <f>IFERROR(VLOOKUP(F97,'Personel Bilgi'!A:B,2,0),"- - - ")</f>
        <v>GAMZE VELIOGULLARI</v>
      </c>
      <c r="H97" s="19" t="str">
        <f>IFERROR(VLOOKUP(F97,'Personel Bilgi'!A:D,3,0),"- - -")</f>
        <v>SAMET KOCABEYOGLU</v>
      </c>
      <c r="I97" s="19" t="str">
        <f>IFERROR(VLOOKUP(F97,'Personel Bilgi'!A:D,4,0),"- - -")</f>
        <v>ERZURUM</v>
      </c>
      <c r="J97" s="19" t="str">
        <f>IFERROR(VLOOKUP(F97,'Personel Bilgi'!A:E,5,0),"- - -")</f>
        <v>MÜŞTERİ TEMSİLCİSİ</v>
      </c>
      <c r="K97" s="19" t="s">
        <v>50</v>
      </c>
      <c r="L97" s="19" t="s">
        <v>41</v>
      </c>
      <c r="M97" s="21" t="s">
        <v>42</v>
      </c>
      <c r="N97" s="36">
        <v>45999</v>
      </c>
      <c r="O97" s="36">
        <v>46000</v>
      </c>
      <c r="P97" s="19" t="s">
        <v>79</v>
      </c>
      <c r="Q97" s="37" t="s">
        <v>735</v>
      </c>
      <c r="R97" s="21" t="s">
        <v>790</v>
      </c>
      <c r="S97" s="21" t="s">
        <v>92</v>
      </c>
      <c r="T97" s="21" t="s">
        <v>94</v>
      </c>
      <c r="U97" s="21">
        <v>0</v>
      </c>
      <c r="V97" s="21" t="s">
        <v>736</v>
      </c>
      <c r="W97" s="21">
        <v>500010</v>
      </c>
      <c r="X97" s="19" t="str">
        <f>IFERROR(VLOOKUP(W97,'Personel Bilgi'!A:B,2,0),"---")</f>
        <v>ALEYNA KARACA</v>
      </c>
      <c r="Y97" s="19" t="str">
        <f>IFERROR(VLOOKUP(W97,'Personel Bilgi'!A:C,3,0),"---")</f>
        <v>ERDOGAN DURUK</v>
      </c>
      <c r="Z97" s="22" t="s">
        <v>95</v>
      </c>
      <c r="AA97" s="22" t="s">
        <v>617</v>
      </c>
      <c r="AB97" s="22" t="s">
        <v>50</v>
      </c>
      <c r="AC97" s="22" t="s">
        <v>41</v>
      </c>
      <c r="AD97" s="22" t="s">
        <v>42</v>
      </c>
    </row>
    <row r="98" spans="1:30" x14ac:dyDescent="0.25">
      <c r="A98" s="19" t="s">
        <v>11</v>
      </c>
      <c r="B98" s="22" t="s">
        <v>859</v>
      </c>
      <c r="C98" s="21">
        <v>5539332816</v>
      </c>
      <c r="D98" s="21" t="s">
        <v>14</v>
      </c>
      <c r="E98" s="21" t="str">
        <f>IFERROR(VLOOKUP(D98,Tanımlar!C:D,2,0),"- - -")</f>
        <v>DAĞITIM</v>
      </c>
      <c r="F98" s="21">
        <v>111239</v>
      </c>
      <c r="G98" s="19" t="str">
        <f>IFERROR(VLOOKUP(F98,'Personel Bilgi'!A:B,2,0),"- - - ")</f>
        <v>HIRANUR KALKAN</v>
      </c>
      <c r="H98" s="19" t="str">
        <f>IFERROR(VLOOKUP(F98,'Personel Bilgi'!A:D,3,0),"- - -")</f>
        <v>SEVCAN BULUT</v>
      </c>
      <c r="I98" s="19" t="str">
        <f>IFERROR(VLOOKUP(F98,'Personel Bilgi'!A:D,4,0),"- - -")</f>
        <v>KARS</v>
      </c>
      <c r="J98" s="19" t="str">
        <f>IFERROR(VLOOKUP(F98,'Personel Bilgi'!A:E,5,0),"- - -")</f>
        <v>MÜŞTERİ TEMSİLCİSİ</v>
      </c>
      <c r="K98" s="19" t="s">
        <v>49</v>
      </c>
      <c r="L98" s="19" t="s">
        <v>41</v>
      </c>
      <c r="M98" s="21" t="s">
        <v>44</v>
      </c>
      <c r="N98" s="36">
        <v>46000</v>
      </c>
      <c r="O98" s="36">
        <v>46000</v>
      </c>
      <c r="P98" s="21" t="s">
        <v>81</v>
      </c>
      <c r="Q98" s="37" t="s">
        <v>735</v>
      </c>
      <c r="R98" s="21" t="s">
        <v>790</v>
      </c>
      <c r="S98" s="21" t="s">
        <v>92</v>
      </c>
      <c r="T98" s="21" t="s">
        <v>95</v>
      </c>
      <c r="U98" s="21">
        <v>88</v>
      </c>
      <c r="V98" s="21" t="s">
        <v>736</v>
      </c>
      <c r="W98" s="21">
        <v>111087</v>
      </c>
      <c r="X98" s="19" t="str">
        <f>IFERROR(VLOOKUP(W98,'Personel Bilgi'!A:B,2,0),"---")</f>
        <v>ASYA ATMACA</v>
      </c>
      <c r="Y98" s="19" t="str">
        <f>IFERROR(VLOOKUP(W98,'Personel Bilgi'!A:C,3,0),"---")</f>
        <v>MUHAMMET AKSU</v>
      </c>
      <c r="Z98" s="22" t="s">
        <v>95</v>
      </c>
      <c r="AA98" s="22" t="s">
        <v>617</v>
      </c>
      <c r="AB98" s="22" t="s">
        <v>49</v>
      </c>
      <c r="AC98" s="22" t="s">
        <v>41</v>
      </c>
      <c r="AD98" s="22" t="s">
        <v>44</v>
      </c>
    </row>
    <row r="99" spans="1:30" x14ac:dyDescent="0.25">
      <c r="A99" s="19" t="s">
        <v>11</v>
      </c>
      <c r="B99" s="22" t="s">
        <v>860</v>
      </c>
      <c r="C99" s="21">
        <v>5395907773</v>
      </c>
      <c r="D99" s="21" t="s">
        <v>14</v>
      </c>
      <c r="E99" s="21" t="str">
        <f>IFERROR(VLOOKUP(D99,Tanımlar!C:D,2,0),"- - -")</f>
        <v>DAĞITIM</v>
      </c>
      <c r="F99" s="21">
        <v>111087</v>
      </c>
      <c r="G99" s="19" t="str">
        <f>IFERROR(VLOOKUP(F99,'Personel Bilgi'!A:B,2,0),"- - - ")</f>
        <v>ASYA ATMACA</v>
      </c>
      <c r="H99" s="19" t="str">
        <f>IFERROR(VLOOKUP(F99,'Personel Bilgi'!A:D,3,0),"- - -")</f>
        <v>MUHAMMET AKSU</v>
      </c>
      <c r="I99" s="19" t="str">
        <f>IFERROR(VLOOKUP(F99,'Personel Bilgi'!A:D,4,0),"- - -")</f>
        <v>KARS</v>
      </c>
      <c r="J99" s="19" t="str">
        <f>IFERROR(VLOOKUP(F99,'Personel Bilgi'!A:E,5,0),"- - -")</f>
        <v>MÜŞTERİ TEMSİLCİSİ</v>
      </c>
      <c r="K99" s="19" t="s">
        <v>49</v>
      </c>
      <c r="L99" s="19" t="s">
        <v>96</v>
      </c>
      <c r="M99" s="21" t="s">
        <v>40</v>
      </c>
      <c r="N99" s="36">
        <v>46000</v>
      </c>
      <c r="O99" s="36">
        <v>46000</v>
      </c>
      <c r="P99" s="21" t="s">
        <v>81</v>
      </c>
      <c r="Q99" s="37" t="s">
        <v>735</v>
      </c>
      <c r="R99" s="21" t="s">
        <v>790</v>
      </c>
      <c r="S99" s="21" t="s">
        <v>92</v>
      </c>
      <c r="T99" s="21" t="s">
        <v>95</v>
      </c>
      <c r="U99" s="21">
        <v>100</v>
      </c>
      <c r="V99" s="21" t="s">
        <v>736</v>
      </c>
      <c r="W99" s="21">
        <v>500131</v>
      </c>
      <c r="X99" s="19" t="str">
        <f>IFERROR(VLOOKUP(W99,'Personel Bilgi'!A:B,2,0),"---")</f>
        <v>SIBEL ATES</v>
      </c>
      <c r="Y99" s="19" t="str">
        <f>IFERROR(VLOOKUP(W99,'Personel Bilgi'!A:C,3,0),"---")</f>
        <v>TURGUT AKDAG</v>
      </c>
      <c r="Z99" s="22" t="s">
        <v>94</v>
      </c>
      <c r="AA99" s="22" t="s">
        <v>616</v>
      </c>
      <c r="AB99" s="22" t="s">
        <v>49</v>
      </c>
      <c r="AC99" s="22" t="s">
        <v>96</v>
      </c>
      <c r="AD99" s="22" t="s">
        <v>40</v>
      </c>
    </row>
    <row r="100" spans="1:30" x14ac:dyDescent="0.25">
      <c r="A100" s="19" t="s">
        <v>11</v>
      </c>
      <c r="B100" s="22" t="s">
        <v>861</v>
      </c>
      <c r="C100" s="21">
        <v>5353585776</v>
      </c>
      <c r="D100" s="21" t="s">
        <v>14</v>
      </c>
      <c r="E100" s="21" t="str">
        <f>IFERROR(VLOOKUP(D100,Tanımlar!C:D,2,0),"- - -")</f>
        <v>DAĞITIM</v>
      </c>
      <c r="F100" s="21">
        <v>500037</v>
      </c>
      <c r="G100" s="19" t="str">
        <f>IFERROR(VLOOKUP(F100,'Personel Bilgi'!A:B,2,0),"- - - ")</f>
        <v>SEYDANUR UCGUL</v>
      </c>
      <c r="H100" s="19" t="str">
        <f>IFERROR(VLOOKUP(F100,'Personel Bilgi'!A:D,3,0),"- - -")</f>
        <v>ERDOGAN DURUK</v>
      </c>
      <c r="I100" s="19" t="str">
        <f>IFERROR(VLOOKUP(F100,'Personel Bilgi'!A:D,4,0),"- - -")</f>
        <v>ERZURUM</v>
      </c>
      <c r="J100" s="19" t="str">
        <f>IFERROR(VLOOKUP(F100,'Personel Bilgi'!A:E,5,0),"- - -")</f>
        <v>MÜŞTERİ TEMSİLCİSİ</v>
      </c>
      <c r="K100" s="19" t="s">
        <v>50</v>
      </c>
      <c r="L100" s="19" t="s">
        <v>97</v>
      </c>
      <c r="M100" s="21" t="s">
        <v>26</v>
      </c>
      <c r="N100" s="36">
        <v>45999</v>
      </c>
      <c r="O100" s="36">
        <v>46000</v>
      </c>
      <c r="P100" s="21" t="s">
        <v>81</v>
      </c>
      <c r="Q100" s="37" t="s">
        <v>735</v>
      </c>
      <c r="R100" s="21" t="s">
        <v>790</v>
      </c>
      <c r="S100" s="21" t="s">
        <v>92</v>
      </c>
      <c r="T100" s="21" t="s">
        <v>95</v>
      </c>
      <c r="U100" s="21">
        <v>100</v>
      </c>
      <c r="V100" s="21" t="s">
        <v>736</v>
      </c>
      <c r="W100" s="21">
        <v>500196</v>
      </c>
      <c r="X100" s="19" t="str">
        <f>IFERROR(VLOOKUP(W100,'Personel Bilgi'!A:B,2,0),"---")</f>
        <v>MUHAMMED IKBAL KARABACAK</v>
      </c>
      <c r="Y100" s="19" t="str">
        <f>IFERROR(VLOOKUP(W100,'Personel Bilgi'!A:C,3,0),"---")</f>
        <v>TURGUT AKDAG</v>
      </c>
      <c r="Z100" s="22" t="s">
        <v>94</v>
      </c>
      <c r="AA100" s="22" t="s">
        <v>616</v>
      </c>
      <c r="AB100" s="22" t="s">
        <v>50</v>
      </c>
      <c r="AC100" s="22" t="s">
        <v>97</v>
      </c>
      <c r="AD100" s="22" t="s">
        <v>26</v>
      </c>
    </row>
    <row r="101" spans="1:30" x14ac:dyDescent="0.25">
      <c r="A101" s="19" t="s">
        <v>11</v>
      </c>
      <c r="B101" s="22" t="s">
        <v>862</v>
      </c>
      <c r="C101" s="21">
        <v>5384001400</v>
      </c>
      <c r="D101" s="21" t="s">
        <v>12</v>
      </c>
      <c r="E101" s="21" t="str">
        <f>IFERROR(VLOOKUP(D101,Tanımlar!C:D,2,0),"- - -")</f>
        <v>DAĞITIM</v>
      </c>
      <c r="F101" s="21">
        <v>111238</v>
      </c>
      <c r="G101" s="19" t="str">
        <f>IFERROR(VLOOKUP(F101,'Personel Bilgi'!A:B,2,0),"- - - ")</f>
        <v>SONGUL DEMIRBAS</v>
      </c>
      <c r="H101" s="19" t="str">
        <f>IFERROR(VLOOKUP(F101,'Personel Bilgi'!A:D,3,0),"- - -")</f>
        <v>ERCUMENT GUNESSU</v>
      </c>
      <c r="I101" s="19" t="str">
        <f>IFERROR(VLOOKUP(F101,'Personel Bilgi'!A:D,4,0),"- - -")</f>
        <v>KARS</v>
      </c>
      <c r="J101" s="19" t="str">
        <f>IFERROR(VLOOKUP(F101,'Personel Bilgi'!A:E,5,0),"- - -")</f>
        <v>TAKIM LİDERİ</v>
      </c>
      <c r="K101" s="19" t="s">
        <v>50</v>
      </c>
      <c r="L101" s="19" t="s">
        <v>97</v>
      </c>
      <c r="M101" s="21" t="s">
        <v>734</v>
      </c>
      <c r="N101" s="36">
        <v>46000</v>
      </c>
      <c r="O101" s="36">
        <v>46001</v>
      </c>
      <c r="P101" s="21" t="s">
        <v>1145</v>
      </c>
      <c r="Q101" s="37" t="s">
        <v>735</v>
      </c>
      <c r="R101" s="21" t="s">
        <v>790</v>
      </c>
      <c r="S101" s="21" t="s">
        <v>92</v>
      </c>
      <c r="T101" s="21" t="s">
        <v>95</v>
      </c>
      <c r="U101" s="21">
        <v>70</v>
      </c>
      <c r="V101" s="21" t="s">
        <v>736</v>
      </c>
      <c r="W101" s="21">
        <v>110803</v>
      </c>
      <c r="X101" s="19" t="str">
        <f>IFERROR(VLOOKUP(W101,'Personel Bilgi'!A:B,2,0),"---")</f>
        <v>YASEMIN DALBOY</v>
      </c>
      <c r="Y101" s="19" t="str">
        <f>IFERROR(VLOOKUP(W101,'Personel Bilgi'!A:C,3,0),"---")</f>
        <v>DILAN ORNEK</v>
      </c>
      <c r="Z101" s="22" t="s">
        <v>95</v>
      </c>
      <c r="AA101" s="22" t="s">
        <v>617</v>
      </c>
      <c r="AB101" s="22" t="s">
        <v>50</v>
      </c>
      <c r="AC101" s="22" t="s">
        <v>97</v>
      </c>
      <c r="AD101" s="22" t="s">
        <v>734</v>
      </c>
    </row>
    <row r="102" spans="1:30" x14ac:dyDescent="0.25">
      <c r="A102" s="19" t="s">
        <v>11</v>
      </c>
      <c r="B102" s="22" t="s">
        <v>863</v>
      </c>
      <c r="C102" s="21">
        <v>5425434849</v>
      </c>
      <c r="D102" s="21" t="s">
        <v>12</v>
      </c>
      <c r="E102" s="21" t="str">
        <f>IFERROR(VLOOKUP(D102,Tanımlar!C:D,2,0),"- - -")</f>
        <v>DAĞITIM</v>
      </c>
      <c r="F102" s="21">
        <v>110825</v>
      </c>
      <c r="G102" s="21" t="str">
        <f>IFERROR(VLOOKUP(F102,'Personel Bilgi'!A:B,2,0),"- - - ")</f>
        <v>UMUT YILDIRIM</v>
      </c>
      <c r="H102" s="21" t="str">
        <f>IFERROR(VLOOKUP(F102,'Personel Bilgi'!A:D,3,0),"- - -")</f>
        <v>SEVCAN BULUT</v>
      </c>
      <c r="I102" s="21" t="str">
        <f>IFERROR(VLOOKUP(F102,'Personel Bilgi'!A:D,4,0),"- - -")</f>
        <v>KARS</v>
      </c>
      <c r="J102" s="21" t="str">
        <f>IFERROR(VLOOKUP(F102,'Personel Bilgi'!A:E,5,0),"- - -")</f>
        <v>MÜŞTERİ TEMSİLCİSİ</v>
      </c>
      <c r="K102" s="19" t="s">
        <v>64</v>
      </c>
      <c r="L102" s="19" t="s">
        <v>41</v>
      </c>
      <c r="M102" s="21" t="s">
        <v>44</v>
      </c>
      <c r="N102" s="36">
        <v>46001</v>
      </c>
      <c r="O102" s="36">
        <v>46001</v>
      </c>
      <c r="P102" s="21" t="s">
        <v>81</v>
      </c>
      <c r="Q102" s="37" t="s">
        <v>735</v>
      </c>
      <c r="R102" s="21" t="s">
        <v>790</v>
      </c>
      <c r="S102" s="21" t="s">
        <v>93</v>
      </c>
      <c r="T102" s="21" t="s">
        <v>95</v>
      </c>
      <c r="U102" s="21" t="s">
        <v>735</v>
      </c>
      <c r="V102" s="21" t="s">
        <v>736</v>
      </c>
      <c r="W102" s="21">
        <v>111205</v>
      </c>
      <c r="X102" s="19" t="str">
        <f>IFERROR(VLOOKUP(W102,'Personel Bilgi'!A:B,2,0),"---")</f>
        <v>ESRA ATMACA</v>
      </c>
      <c r="Y102" s="19" t="str">
        <f>IFERROR(VLOOKUP(W102,'Personel Bilgi'!A:C,3,0),"---")</f>
        <v>MUHAMMET AKSU</v>
      </c>
      <c r="Z102" s="22" t="s">
        <v>95</v>
      </c>
      <c r="AA102" s="22" t="s">
        <v>617</v>
      </c>
      <c r="AB102" s="22" t="s">
        <v>64</v>
      </c>
      <c r="AC102" s="22" t="s">
        <v>41</v>
      </c>
      <c r="AD102" s="22" t="s">
        <v>44</v>
      </c>
    </row>
    <row r="103" spans="1:30" x14ac:dyDescent="0.25">
      <c r="A103" s="19" t="s">
        <v>11</v>
      </c>
      <c r="B103" s="22" t="s">
        <v>865</v>
      </c>
      <c r="C103" s="21">
        <v>5416062994</v>
      </c>
      <c r="D103" s="21" t="s">
        <v>17</v>
      </c>
      <c r="E103" s="21" t="str">
        <f>IFERROR(VLOOKUP(D103,Tanımlar!C:D,2,0),"- - -")</f>
        <v>PERAKENDE</v>
      </c>
      <c r="F103" s="21">
        <v>111258</v>
      </c>
      <c r="G103" s="21" t="str">
        <f>IFERROR(VLOOKUP(F103,'Personel Bilgi'!A:B,2,0),"- - - ")</f>
        <v>BUSRA SIMSEK</v>
      </c>
      <c r="H103" s="21" t="str">
        <f>IFERROR(VLOOKUP(F103,'Personel Bilgi'!A:D,3,0),"- - -")</f>
        <v>KURTHAN FERDI CIHANTIMUR</v>
      </c>
      <c r="I103" s="21" t="str">
        <f>IFERROR(VLOOKUP(F103,'Personel Bilgi'!A:D,4,0),"- - -")</f>
        <v>KARS</v>
      </c>
      <c r="J103" s="21" t="str">
        <f>IFERROR(VLOOKUP(F103,'Personel Bilgi'!A:E,5,0),"- - -")</f>
        <v>MÜŞTERİ TEMSİLCİSİ</v>
      </c>
      <c r="K103" s="19" t="s">
        <v>64</v>
      </c>
      <c r="L103" s="19" t="s">
        <v>97</v>
      </c>
      <c r="M103" s="21" t="s">
        <v>21</v>
      </c>
      <c r="N103" s="36">
        <v>45997</v>
      </c>
      <c r="O103" s="36">
        <v>46003</v>
      </c>
      <c r="P103" s="21" t="s">
        <v>81</v>
      </c>
      <c r="Q103" s="37" t="s">
        <v>735</v>
      </c>
      <c r="R103" s="21" t="s">
        <v>86</v>
      </c>
      <c r="S103" s="21" t="s">
        <v>92</v>
      </c>
      <c r="T103" s="21" t="s">
        <v>95</v>
      </c>
      <c r="U103" s="21">
        <v>75</v>
      </c>
      <c r="V103" s="21" t="s">
        <v>736</v>
      </c>
      <c r="W103" s="21">
        <v>110547</v>
      </c>
      <c r="X103" s="19" t="str">
        <f>IFERROR(VLOOKUP(W103,'Personel Bilgi'!A:B,2,0),"---")</f>
        <v>EMRE CAN SUMER</v>
      </c>
      <c r="Y103" s="19" t="str">
        <f>IFERROR(VLOOKUP(W103,'Personel Bilgi'!A:C,3,0),"---")</f>
        <v>CEYHAN AYRIC</v>
      </c>
      <c r="Z103" s="22" t="s">
        <v>95</v>
      </c>
      <c r="AA103" s="22" t="s">
        <v>617</v>
      </c>
      <c r="AB103" s="22" t="s">
        <v>64</v>
      </c>
      <c r="AC103" s="22" t="s">
        <v>97</v>
      </c>
      <c r="AD103" s="22" t="s">
        <v>21</v>
      </c>
    </row>
    <row r="104" spans="1:30" x14ac:dyDescent="0.25">
      <c r="A104" s="19" t="s">
        <v>11</v>
      </c>
      <c r="B104" s="22" t="s">
        <v>866</v>
      </c>
      <c r="C104" s="21">
        <v>5333538992</v>
      </c>
      <c r="D104" s="21" t="s">
        <v>14</v>
      </c>
      <c r="E104" s="21" t="str">
        <f>IFERROR(VLOOKUP(D104,Tanımlar!C:D,2,0),"- - -")</f>
        <v>DAĞITIM</v>
      </c>
      <c r="F104" s="21">
        <v>500196</v>
      </c>
      <c r="G104" s="21" t="str">
        <f>IFERROR(VLOOKUP(F104,'Personel Bilgi'!A:B,2,0),"- - - ")</f>
        <v>MUHAMMED IKBAL KARABACAK</v>
      </c>
      <c r="H104" s="21" t="str">
        <f>IFERROR(VLOOKUP(F104,'Personel Bilgi'!A:D,3,0),"- - -")</f>
        <v>TURGUT AKDAG</v>
      </c>
      <c r="I104" s="21" t="str">
        <f>IFERROR(VLOOKUP(F104,'Personel Bilgi'!A:D,4,0),"- - -")</f>
        <v>ERZURUM</v>
      </c>
      <c r="J104" s="21" t="str">
        <f>IFERROR(VLOOKUP(F104,'Personel Bilgi'!A:E,5,0),"- - -")</f>
        <v>MÜŞTERİ TEMSİLCİSİ</v>
      </c>
      <c r="K104" s="19" t="s">
        <v>49</v>
      </c>
      <c r="L104" s="19" t="s">
        <v>96</v>
      </c>
      <c r="M104" s="21" t="s">
        <v>40</v>
      </c>
      <c r="N104" s="36">
        <v>46002</v>
      </c>
      <c r="O104" s="36">
        <v>46003</v>
      </c>
      <c r="P104" s="19" t="s">
        <v>81</v>
      </c>
      <c r="Q104" s="37" t="s">
        <v>735</v>
      </c>
      <c r="R104" s="21" t="s">
        <v>86</v>
      </c>
      <c r="S104" s="21" t="s">
        <v>92</v>
      </c>
      <c r="T104" s="21" t="s">
        <v>94</v>
      </c>
      <c r="U104" s="21">
        <v>0</v>
      </c>
      <c r="V104" s="21" t="s">
        <v>736</v>
      </c>
      <c r="W104" s="21">
        <v>600625</v>
      </c>
      <c r="X104" s="19" t="str">
        <f>IFERROR(VLOOKUP(W104,'Personel Bilgi'!A:B,2,0),"---")</f>
        <v>UMMUGULSUM DILARA UZUNDERE</v>
      </c>
      <c r="Y104" s="19" t="str">
        <f>IFERROR(VLOOKUP(W104,'Personel Bilgi'!A:C,3,0),"---")</f>
        <v>FERHAT DEMIR</v>
      </c>
      <c r="Z104" s="22" t="s">
        <v>95</v>
      </c>
      <c r="AA104" s="22" t="s">
        <v>617</v>
      </c>
      <c r="AB104" s="22" t="s">
        <v>49</v>
      </c>
      <c r="AC104" s="22" t="s">
        <v>96</v>
      </c>
      <c r="AD104" s="22" t="s">
        <v>40</v>
      </c>
    </row>
    <row r="105" spans="1:30" x14ac:dyDescent="0.25">
      <c r="A105" s="19" t="s">
        <v>11</v>
      </c>
      <c r="B105" s="22" t="s">
        <v>867</v>
      </c>
      <c r="C105" s="21">
        <v>5346541208</v>
      </c>
      <c r="D105" s="21" t="s">
        <v>14</v>
      </c>
      <c r="E105" s="21" t="str">
        <f>IFERROR(VLOOKUP(D105,Tanımlar!C:D,2,0),"- - -")</f>
        <v>DAĞITIM</v>
      </c>
      <c r="F105" s="21">
        <v>500130</v>
      </c>
      <c r="G105" s="21" t="str">
        <f>IFERROR(VLOOKUP(F105,'Personel Bilgi'!A:B,2,0),"- - - ")</f>
        <v>SEVIL IREM DURUK</v>
      </c>
      <c r="H105" s="21" t="str">
        <f>IFERROR(VLOOKUP(F105,'Personel Bilgi'!A:D,3,0),"- - -")</f>
        <v>SAMET KOCABEYOGLU</v>
      </c>
      <c r="I105" s="21" t="str">
        <f>IFERROR(VLOOKUP(F105,'Personel Bilgi'!A:D,4,0),"- - -")</f>
        <v>ERZURUM</v>
      </c>
      <c r="J105" s="21" t="str">
        <f>IFERROR(VLOOKUP(F105,'Personel Bilgi'!A:E,5,0),"- - -")</f>
        <v>MÜŞTERİ TEMSİLCİSİ</v>
      </c>
      <c r="K105" s="19" t="s">
        <v>49</v>
      </c>
      <c r="L105" s="19" t="s">
        <v>97</v>
      </c>
      <c r="M105" s="21" t="s">
        <v>26</v>
      </c>
      <c r="N105" s="36">
        <v>46002</v>
      </c>
      <c r="O105" s="36">
        <v>46003</v>
      </c>
      <c r="P105" s="21" t="s">
        <v>1145</v>
      </c>
      <c r="Q105" s="37" t="s">
        <v>735</v>
      </c>
      <c r="R105" s="21" t="s">
        <v>86</v>
      </c>
      <c r="S105" s="21" t="s">
        <v>92</v>
      </c>
      <c r="T105" s="21" t="s">
        <v>94</v>
      </c>
      <c r="U105" s="21">
        <v>0</v>
      </c>
      <c r="V105" s="21" t="s">
        <v>736</v>
      </c>
      <c r="W105" s="21">
        <v>500144</v>
      </c>
      <c r="X105" s="19" t="str">
        <f>IFERROR(VLOOKUP(W105,'Personel Bilgi'!A:B,2,0),"---")</f>
        <v>BAHTINUR LAFCI</v>
      </c>
      <c r="Y105" s="19" t="str">
        <f>IFERROR(VLOOKUP(W105,'Personel Bilgi'!A:C,3,0),"---")</f>
        <v>KURSAD TERCANLI</v>
      </c>
      <c r="Z105" s="22" t="s">
        <v>95</v>
      </c>
      <c r="AA105" s="22" t="s">
        <v>617</v>
      </c>
      <c r="AB105" s="22" t="s">
        <v>49</v>
      </c>
      <c r="AC105" s="22" t="s">
        <v>97</v>
      </c>
      <c r="AD105" s="22" t="s">
        <v>26</v>
      </c>
    </row>
    <row r="106" spans="1:30" x14ac:dyDescent="0.25">
      <c r="A106" s="19" t="s">
        <v>11</v>
      </c>
      <c r="B106" s="20" t="s">
        <v>869</v>
      </c>
      <c r="C106" s="21">
        <v>5308567064</v>
      </c>
      <c r="D106" s="21" t="s">
        <v>14</v>
      </c>
      <c r="E106" s="21" t="str">
        <f>IFERROR(VLOOKUP(D106,Tanımlar!C:D,2,0),"- - -")</f>
        <v>DAĞITIM</v>
      </c>
      <c r="F106" s="21">
        <v>500089</v>
      </c>
      <c r="G106" s="21" t="str">
        <f>IFERROR(VLOOKUP(F106,'Personel Bilgi'!A:B,2,0),"- - - ")</f>
        <v>CANAN KUCUKBATMAN</v>
      </c>
      <c r="H106" s="21" t="str">
        <f>IFERROR(VLOOKUP(F106,'Personel Bilgi'!A:D,3,0),"- - -")</f>
        <v>METEHAN EMRE SIRMALI</v>
      </c>
      <c r="I106" s="21" t="str">
        <f>IFERROR(VLOOKUP(F106,'Personel Bilgi'!A:D,4,0),"- - -")</f>
        <v>ERZURUM</v>
      </c>
      <c r="J106" s="21" t="str">
        <f>IFERROR(VLOOKUP(F106,'Personel Bilgi'!A:E,5,0),"- - -")</f>
        <v>MÜŞTERİ TEMSİLCİSİ</v>
      </c>
      <c r="K106" s="19" t="s">
        <v>64</v>
      </c>
      <c r="L106" s="19" t="s">
        <v>41</v>
      </c>
      <c r="M106" s="21" t="s">
        <v>44</v>
      </c>
      <c r="N106" s="36">
        <v>46002</v>
      </c>
      <c r="O106" s="36">
        <v>46003</v>
      </c>
      <c r="P106" s="21" t="s">
        <v>81</v>
      </c>
      <c r="Q106" s="37" t="s">
        <v>735</v>
      </c>
      <c r="R106" s="21" t="s">
        <v>86</v>
      </c>
      <c r="S106" s="21" t="s">
        <v>93</v>
      </c>
      <c r="T106" s="21" t="s">
        <v>95</v>
      </c>
      <c r="U106" s="21" t="s">
        <v>735</v>
      </c>
      <c r="V106" s="21" t="s">
        <v>736</v>
      </c>
      <c r="W106" s="21">
        <v>500122</v>
      </c>
      <c r="X106" s="35" t="s">
        <v>438</v>
      </c>
      <c r="Y106" s="19" t="s">
        <v>389</v>
      </c>
      <c r="Z106" s="22" t="s">
        <v>95</v>
      </c>
      <c r="AA106" s="22" t="s">
        <v>617</v>
      </c>
      <c r="AB106" s="22" t="s">
        <v>64</v>
      </c>
      <c r="AC106" s="22" t="s">
        <v>41</v>
      </c>
      <c r="AD106" s="22" t="s">
        <v>44</v>
      </c>
    </row>
    <row r="107" spans="1:30" x14ac:dyDescent="0.25">
      <c r="A107" s="19" t="s">
        <v>11</v>
      </c>
      <c r="B107" s="20" t="s">
        <v>870</v>
      </c>
      <c r="C107" s="21">
        <v>5308567064</v>
      </c>
      <c r="D107" s="21" t="s">
        <v>14</v>
      </c>
      <c r="E107" s="21" t="str">
        <f>IFERROR(VLOOKUP(D107,Tanımlar!C:D,2,0),"- - -")</f>
        <v>DAĞITIM</v>
      </c>
      <c r="F107" s="21">
        <v>500190</v>
      </c>
      <c r="G107" s="21" t="str">
        <f>IFERROR(VLOOKUP(F107,'Personel Bilgi'!A:B,2,0),"- - - ")</f>
        <v>SEDEF TEKMAN</v>
      </c>
      <c r="H107" s="21" t="str">
        <f>IFERROR(VLOOKUP(F107,'Personel Bilgi'!A:D,3,0),"- - -")</f>
        <v>TURGUT AKDAG</v>
      </c>
      <c r="I107" s="21" t="str">
        <f>IFERROR(VLOOKUP(F107,'Personel Bilgi'!A:D,4,0),"- - -")</f>
        <v>ERZURUM</v>
      </c>
      <c r="J107" s="21" t="str">
        <f>IFERROR(VLOOKUP(F107,'Personel Bilgi'!A:E,5,0),"- - -")</f>
        <v>MÜŞTERİ TEMSİLCİSİ</v>
      </c>
      <c r="K107" s="19" t="s">
        <v>64</v>
      </c>
      <c r="L107" s="19" t="s">
        <v>41</v>
      </c>
      <c r="M107" s="21" t="s">
        <v>44</v>
      </c>
      <c r="N107" s="36">
        <v>46002</v>
      </c>
      <c r="O107" s="36">
        <v>46003</v>
      </c>
      <c r="P107" s="21" t="s">
        <v>81</v>
      </c>
      <c r="Q107" s="37" t="s">
        <v>735</v>
      </c>
      <c r="R107" s="21" t="s">
        <v>86</v>
      </c>
      <c r="S107" s="21" t="s">
        <v>93</v>
      </c>
      <c r="T107" s="21" t="s">
        <v>95</v>
      </c>
      <c r="U107" s="21" t="s">
        <v>735</v>
      </c>
      <c r="V107" s="21" t="s">
        <v>736</v>
      </c>
      <c r="W107" s="21">
        <v>500122</v>
      </c>
      <c r="X107" s="19" t="str">
        <f>IFERROR(VLOOKUP(W107,'Personel Bilgi'!A:B,2,0),"---")</f>
        <v>EYLUL YILDIRIM</v>
      </c>
      <c r="Y107" s="19" t="str">
        <f>IFERROR(VLOOKUP(W107,'Personel Bilgi'!A:C,3,0),"---")</f>
        <v>SAMET KOCABEYOGLU</v>
      </c>
      <c r="Z107" s="22" t="s">
        <v>95</v>
      </c>
      <c r="AA107" s="22" t="s">
        <v>617</v>
      </c>
      <c r="AB107" s="22" t="s">
        <v>64</v>
      </c>
      <c r="AC107" s="22" t="s">
        <v>41</v>
      </c>
      <c r="AD107" s="22" t="s">
        <v>44</v>
      </c>
    </row>
    <row r="108" spans="1:30" x14ac:dyDescent="0.25">
      <c r="A108" s="19" t="s">
        <v>11</v>
      </c>
      <c r="B108" s="20" t="s">
        <v>869</v>
      </c>
      <c r="C108" s="21">
        <v>5308567064</v>
      </c>
      <c r="D108" s="21" t="s">
        <v>14</v>
      </c>
      <c r="E108" s="21" t="str">
        <f>IFERROR(VLOOKUP(D108,Tanımlar!C:D,2,0),"- - -")</f>
        <v>DAĞITIM</v>
      </c>
      <c r="F108" s="21">
        <v>500144</v>
      </c>
      <c r="G108" s="21" t="str">
        <f>IFERROR(VLOOKUP(F108,'Personel Bilgi'!A:B,2,0),"- - - ")</f>
        <v>BAHTINUR LAFCI</v>
      </c>
      <c r="H108" s="21" t="str">
        <f>IFERROR(VLOOKUP(F108,'Personel Bilgi'!A:D,3,0),"- - -")</f>
        <v>KURSAD TERCANLI</v>
      </c>
      <c r="I108" s="21" t="str">
        <f>IFERROR(VLOOKUP(F108,'Personel Bilgi'!A:D,4,0),"- - -")</f>
        <v>ERZURUM</v>
      </c>
      <c r="J108" s="21" t="str">
        <f>IFERROR(VLOOKUP(F108,'Personel Bilgi'!A:E,5,0),"- - -")</f>
        <v>MÜŞTERİ TEMSİLCİSİ</v>
      </c>
      <c r="K108" s="19" t="s">
        <v>64</v>
      </c>
      <c r="L108" s="19" t="s">
        <v>41</v>
      </c>
      <c r="M108" s="21" t="s">
        <v>44</v>
      </c>
      <c r="N108" s="36">
        <v>46002</v>
      </c>
      <c r="O108" s="36">
        <v>46003</v>
      </c>
      <c r="P108" s="21" t="s">
        <v>81</v>
      </c>
      <c r="Q108" s="37" t="s">
        <v>735</v>
      </c>
      <c r="R108" s="21" t="s">
        <v>86</v>
      </c>
      <c r="S108" s="21" t="s">
        <v>93</v>
      </c>
      <c r="T108" s="21" t="s">
        <v>95</v>
      </c>
      <c r="U108" s="21" t="s">
        <v>735</v>
      </c>
      <c r="V108" s="21" t="s">
        <v>736</v>
      </c>
      <c r="W108" s="21">
        <v>500122</v>
      </c>
      <c r="X108" s="19" t="str">
        <f>IFERROR(VLOOKUP(W108,'Personel Bilgi'!A:B,2,0),"---")</f>
        <v>EYLUL YILDIRIM</v>
      </c>
      <c r="Y108" s="19" t="str">
        <f>IFERROR(VLOOKUP(W108,'Personel Bilgi'!A:C,3,0),"---")</f>
        <v>SAMET KOCABEYOGLU</v>
      </c>
      <c r="Z108" s="22" t="s">
        <v>95</v>
      </c>
      <c r="AA108" s="22" t="s">
        <v>617</v>
      </c>
      <c r="AB108" s="22" t="s">
        <v>64</v>
      </c>
      <c r="AC108" s="22" t="s">
        <v>41</v>
      </c>
      <c r="AD108" s="22" t="s">
        <v>44</v>
      </c>
    </row>
    <row r="109" spans="1:30" x14ac:dyDescent="0.25">
      <c r="A109" s="19" t="s">
        <v>11</v>
      </c>
      <c r="B109" s="20" t="s">
        <v>869</v>
      </c>
      <c r="C109" s="21">
        <v>5308567064</v>
      </c>
      <c r="D109" s="21" t="s">
        <v>14</v>
      </c>
      <c r="E109" s="21" t="str">
        <f>IFERROR(VLOOKUP(D109,Tanımlar!C:D,2,0),"- - -")</f>
        <v>DAĞITIM</v>
      </c>
      <c r="F109" s="21">
        <v>600641</v>
      </c>
      <c r="G109" s="21" t="str">
        <f>IFERROR(VLOOKUP(F109,'Personel Bilgi'!A:B,2,0),"- - - ")</f>
        <v>BERFIN SULTAN DAGLI</v>
      </c>
      <c r="H109" s="21" t="str">
        <f>IFERROR(VLOOKUP(F109,'Personel Bilgi'!A:D,3,0),"- - -")</f>
        <v>GORKEM SERT</v>
      </c>
      <c r="I109" s="21" t="str">
        <f>IFERROR(VLOOKUP(F109,'Personel Bilgi'!A:D,4,0),"- - -")</f>
        <v>ANKARA</v>
      </c>
      <c r="J109" s="21" t="str">
        <f>IFERROR(VLOOKUP(F109,'Personel Bilgi'!A:E,5,0),"- - -")</f>
        <v>MÜŞTERİ TEMSİLCİSİ</v>
      </c>
      <c r="K109" s="19" t="s">
        <v>64</v>
      </c>
      <c r="L109" s="19" t="s">
        <v>41</v>
      </c>
      <c r="M109" s="21" t="s">
        <v>44</v>
      </c>
      <c r="N109" s="36">
        <v>46002</v>
      </c>
      <c r="O109" s="36">
        <v>46003</v>
      </c>
      <c r="P109" s="21" t="s">
        <v>81</v>
      </c>
      <c r="Q109" s="37" t="s">
        <v>735</v>
      </c>
      <c r="R109" s="21" t="s">
        <v>86</v>
      </c>
      <c r="S109" s="21" t="s">
        <v>93</v>
      </c>
      <c r="T109" s="21" t="s">
        <v>95</v>
      </c>
      <c r="U109" s="21" t="s">
        <v>735</v>
      </c>
      <c r="V109" s="21" t="s">
        <v>736</v>
      </c>
      <c r="W109" s="21">
        <v>500122</v>
      </c>
      <c r="X109" s="19" t="str">
        <f>IFERROR(VLOOKUP(W109,'Personel Bilgi'!A:B,2,0),"---")</f>
        <v>EYLUL YILDIRIM</v>
      </c>
      <c r="Y109" s="19" t="str">
        <f>IFERROR(VLOOKUP(W109,'Personel Bilgi'!A:C,3,0),"---")</f>
        <v>SAMET KOCABEYOGLU</v>
      </c>
      <c r="Z109" s="22" t="s">
        <v>95</v>
      </c>
      <c r="AA109" s="22" t="s">
        <v>617</v>
      </c>
      <c r="AB109" s="22" t="s">
        <v>64</v>
      </c>
      <c r="AC109" s="22" t="s">
        <v>41</v>
      </c>
      <c r="AD109" s="22" t="s">
        <v>44</v>
      </c>
    </row>
    <row r="110" spans="1:30" x14ac:dyDescent="0.25">
      <c r="A110" s="19" t="s">
        <v>11</v>
      </c>
      <c r="B110" s="22" t="s">
        <v>868</v>
      </c>
      <c r="C110" s="21">
        <v>5060005909</v>
      </c>
      <c r="D110" s="21" t="s">
        <v>12</v>
      </c>
      <c r="E110" s="21" t="str">
        <f>IFERROR(VLOOKUP(D110,Tanımlar!C:D,2,0),"- - -")</f>
        <v>DAĞITIM</v>
      </c>
      <c r="F110" s="21">
        <v>500081</v>
      </c>
      <c r="G110" s="21" t="str">
        <f>IFERROR(VLOOKUP(F110,'Personel Bilgi'!A:B,2,0),"- - - ")</f>
        <v>BEYZA YAREN TUNCAY</v>
      </c>
      <c r="H110" s="21" t="str">
        <f>IFERROR(VLOOKUP(F110,'Personel Bilgi'!A:D,3,0),"- - -")</f>
        <v>SALTUK BUGRAHAN TAYMUS</v>
      </c>
      <c r="I110" s="21" t="str">
        <f>IFERROR(VLOOKUP(F110,'Personel Bilgi'!A:D,4,0),"- - -")</f>
        <v>ERZURUM</v>
      </c>
      <c r="J110" s="21" t="str">
        <f>IFERROR(VLOOKUP(F110,'Personel Bilgi'!A:E,5,0),"- - -")</f>
        <v>MÜŞTERİ TEMSİLCİSİ</v>
      </c>
      <c r="K110" s="19" t="s">
        <v>54</v>
      </c>
      <c r="L110" s="19" t="s">
        <v>96</v>
      </c>
      <c r="M110" s="19" t="s">
        <v>36</v>
      </c>
      <c r="N110" s="36">
        <v>45995</v>
      </c>
      <c r="O110" s="36">
        <v>46003</v>
      </c>
      <c r="P110" s="19" t="s">
        <v>79</v>
      </c>
      <c r="Q110" s="37" t="s">
        <v>735</v>
      </c>
      <c r="R110" s="21" t="s">
        <v>88</v>
      </c>
      <c r="S110" s="21" t="s">
        <v>92</v>
      </c>
      <c r="T110" s="21" t="s">
        <v>94</v>
      </c>
      <c r="U110" s="21">
        <v>0</v>
      </c>
      <c r="V110" s="21" t="s">
        <v>736</v>
      </c>
      <c r="W110" s="21">
        <v>500069</v>
      </c>
      <c r="X110" s="21" t="str">
        <f>IFERROR(VLOOKUP(W110,'Personel Bilgi'!A:B,2,0),"---")</f>
        <v>HUMEYYA ILAYDA ORS</v>
      </c>
      <c r="Y110" s="21" t="str">
        <f>IFERROR(VLOOKUP(W110,'Personel Bilgi'!A:C,3,0),"---")</f>
        <v>SALTUK BUGRAHAN TAYMUS</v>
      </c>
      <c r="Z110" s="22" t="s">
        <v>94</v>
      </c>
      <c r="AA110" s="22" t="s">
        <v>616</v>
      </c>
      <c r="AB110" s="22" t="s">
        <v>54</v>
      </c>
      <c r="AC110" s="22" t="s">
        <v>96</v>
      </c>
      <c r="AD110" s="22" t="s">
        <v>36</v>
      </c>
    </row>
    <row r="111" spans="1:30" x14ac:dyDescent="0.25">
      <c r="A111" s="19" t="s">
        <v>11</v>
      </c>
      <c r="B111" s="22" t="s">
        <v>871</v>
      </c>
      <c r="C111" s="21">
        <v>5315565328</v>
      </c>
      <c r="D111" s="21" t="s">
        <v>12</v>
      </c>
      <c r="E111" s="21" t="str">
        <f>IFERROR(VLOOKUP(D111,Tanımlar!C:D,2,0),"- - -")</f>
        <v>DAĞITIM</v>
      </c>
      <c r="F111" s="21">
        <v>500132</v>
      </c>
      <c r="G111" s="21" t="str">
        <f>IFERROR(VLOOKUP(F111,'Personel Bilgi'!A:B,2,0),"- - - ")</f>
        <v>SONGUL BEKCI</v>
      </c>
      <c r="H111" s="21" t="str">
        <f>IFERROR(VLOOKUP(F111,'Personel Bilgi'!A:D,3,0),"- - -")</f>
        <v>TURGUT AKDAG</v>
      </c>
      <c r="I111" s="21" t="str">
        <f>IFERROR(VLOOKUP(F111,'Personel Bilgi'!A:D,4,0),"- - -")</f>
        <v>ERZURUM</v>
      </c>
      <c r="J111" s="21" t="str">
        <f>IFERROR(VLOOKUP(F111,'Personel Bilgi'!A:E,5,0),"- - -")</f>
        <v>MÜŞTERİ TEMSİLCİSİ</v>
      </c>
      <c r="K111" s="19" t="s">
        <v>59</v>
      </c>
      <c r="L111" s="19" t="s">
        <v>96</v>
      </c>
      <c r="M111" s="19" t="s">
        <v>38</v>
      </c>
      <c r="N111" s="36">
        <v>46001</v>
      </c>
      <c r="O111" s="36">
        <v>46003</v>
      </c>
      <c r="P111" s="21" t="s">
        <v>1145</v>
      </c>
      <c r="Q111" s="37" t="s">
        <v>735</v>
      </c>
      <c r="R111" s="21" t="s">
        <v>86</v>
      </c>
      <c r="S111" s="21" t="s">
        <v>92</v>
      </c>
      <c r="T111" s="21" t="s">
        <v>94</v>
      </c>
      <c r="U111" s="21">
        <v>0</v>
      </c>
      <c r="V111" s="21" t="s">
        <v>736</v>
      </c>
      <c r="W111" s="21">
        <v>500073</v>
      </c>
      <c r="X111" s="19" t="str">
        <f>IFERROR(VLOOKUP(W111,'Personel Bilgi'!A:B,2,0),"---")</f>
        <v>MUHAMMED TARIK KUÇUK</v>
      </c>
      <c r="Y111" s="19" t="str">
        <f>IFERROR(VLOOKUP(W111,'Personel Bilgi'!A:C,3,0),"---")</f>
        <v>MUHAMMED TARIK KUÇUK</v>
      </c>
      <c r="Z111" s="22" t="s">
        <v>95</v>
      </c>
      <c r="AA111" s="22" t="s">
        <v>617</v>
      </c>
      <c r="AB111" s="22" t="s">
        <v>59</v>
      </c>
      <c r="AC111" s="22" t="s">
        <v>96</v>
      </c>
      <c r="AD111" s="22" t="s">
        <v>38</v>
      </c>
    </row>
    <row r="112" spans="1:30" x14ac:dyDescent="0.25">
      <c r="A112" s="19" t="s">
        <v>11</v>
      </c>
      <c r="B112" s="22" t="s">
        <v>872</v>
      </c>
      <c r="C112" s="21">
        <v>5322146479</v>
      </c>
      <c r="D112" s="21" t="s">
        <v>14</v>
      </c>
      <c r="E112" s="21" t="str">
        <f>IFERROR(VLOOKUP(D112,Tanımlar!C:D,2,0),"- - -")</f>
        <v>DAĞITIM</v>
      </c>
      <c r="F112" s="21">
        <v>500063</v>
      </c>
      <c r="G112" s="21" t="str">
        <f>IFERROR(VLOOKUP(F112,'Personel Bilgi'!A:B,2,0),"- - - ")</f>
        <v>YUSUF ISLAM BOZKURT</v>
      </c>
      <c r="H112" s="21" t="str">
        <f>IFERROR(VLOOKUP(F112,'Personel Bilgi'!A:D,3,0),"- - -")</f>
        <v>ERDOGAN DURUK</v>
      </c>
      <c r="I112" s="21" t="str">
        <f>IFERROR(VLOOKUP(F112,'Personel Bilgi'!A:D,4,0),"- - -")</f>
        <v>ERZURUM</v>
      </c>
      <c r="J112" s="21" t="str">
        <f>IFERROR(VLOOKUP(F112,'Personel Bilgi'!A:E,5,0),"- - -")</f>
        <v>MÜŞTERİ TEMSİLCİSİ</v>
      </c>
      <c r="K112" s="19" t="s">
        <v>54</v>
      </c>
      <c r="L112" s="19" t="s">
        <v>47</v>
      </c>
      <c r="M112" s="19" t="s">
        <v>603</v>
      </c>
      <c r="N112" s="36">
        <v>46002</v>
      </c>
      <c r="O112" s="36">
        <v>46003</v>
      </c>
      <c r="P112" s="19" t="s">
        <v>75</v>
      </c>
      <c r="Q112" s="37" t="s">
        <v>735</v>
      </c>
      <c r="R112" s="21" t="s">
        <v>86</v>
      </c>
      <c r="S112" s="21" t="s">
        <v>92</v>
      </c>
      <c r="T112" s="21" t="s">
        <v>94</v>
      </c>
      <c r="U112" s="21">
        <v>0</v>
      </c>
      <c r="V112" s="21" t="s">
        <v>736</v>
      </c>
      <c r="W112" s="21">
        <v>500063</v>
      </c>
      <c r="X112" s="19" t="str">
        <f>IFERROR(VLOOKUP(W112,'Personel Bilgi'!A:B,2,0),"---")</f>
        <v>YUSUF ISLAM BOZKURT</v>
      </c>
      <c r="Y112" s="19" t="str">
        <f>IFERROR(VLOOKUP(W112,'Personel Bilgi'!A:C,3,0),"---")</f>
        <v>ERDOGAN DURUK</v>
      </c>
      <c r="Z112" s="19" t="s">
        <v>94</v>
      </c>
      <c r="AA112" s="22" t="s">
        <v>616</v>
      </c>
      <c r="AB112" s="22" t="s">
        <v>54</v>
      </c>
      <c r="AC112" s="22" t="s">
        <v>47</v>
      </c>
      <c r="AD112" s="22" t="s">
        <v>603</v>
      </c>
    </row>
    <row r="113" spans="1:30" x14ac:dyDescent="0.25">
      <c r="A113" s="19" t="s">
        <v>11</v>
      </c>
      <c r="B113" s="22" t="s">
        <v>873</v>
      </c>
      <c r="C113" s="21">
        <v>5427917614</v>
      </c>
      <c r="D113" s="21" t="s">
        <v>14</v>
      </c>
      <c r="E113" s="21" t="str">
        <f>IFERROR(VLOOKUP(D113,Tanımlar!C:D,2,0),"- - -")</f>
        <v>DAĞITIM</v>
      </c>
      <c r="F113" s="21">
        <v>500195</v>
      </c>
      <c r="G113" s="21" t="str">
        <f>IFERROR(VLOOKUP(F113,'Personel Bilgi'!A:B,2,0),"- - - ")</f>
        <v>YAREN MARAL TEYMUR</v>
      </c>
      <c r="H113" s="21" t="str">
        <f>IFERROR(VLOOKUP(F113,'Personel Bilgi'!A:D,3,0),"- - -")</f>
        <v>SAMET KOCABEYOGLU</v>
      </c>
      <c r="I113" s="21" t="str">
        <f>IFERROR(VLOOKUP(F113,'Personel Bilgi'!A:D,4,0),"- - -")</f>
        <v>ERZURUM</v>
      </c>
      <c r="J113" s="21" t="str">
        <f>IFERROR(VLOOKUP(F113,'Personel Bilgi'!A:E,5,0),"- - -")</f>
        <v>MÜŞTERİ TEMSİLCİSİ</v>
      </c>
      <c r="K113" s="19" t="s">
        <v>59</v>
      </c>
      <c r="L113" s="19" t="s">
        <v>96</v>
      </c>
      <c r="M113" s="19" t="s">
        <v>38</v>
      </c>
      <c r="N113" s="36">
        <v>46002</v>
      </c>
      <c r="O113" s="36">
        <v>46003</v>
      </c>
      <c r="P113" s="21" t="s">
        <v>1145</v>
      </c>
      <c r="Q113" s="37" t="s">
        <v>735</v>
      </c>
      <c r="R113" s="21" t="s">
        <v>86</v>
      </c>
      <c r="S113" s="21" t="s">
        <v>92</v>
      </c>
      <c r="T113" s="21" t="s">
        <v>94</v>
      </c>
      <c r="U113" s="21">
        <v>0</v>
      </c>
      <c r="V113" s="21" t="s">
        <v>736</v>
      </c>
      <c r="W113" s="35">
        <v>110707</v>
      </c>
      <c r="X113" s="19" t="str">
        <f>IFERROR(VLOOKUP(W113,'Personel Bilgi'!A:B,2,0),"---")</f>
        <v>MELISA YIGIT</v>
      </c>
      <c r="Y113" s="19" t="str">
        <f>IFERROR(VLOOKUP(W113,'Personel Bilgi'!A:C,3,0),"---")</f>
        <v>MUHAMMET AKSU</v>
      </c>
      <c r="Z113" s="22" t="s">
        <v>95</v>
      </c>
      <c r="AA113" s="22" t="s">
        <v>617</v>
      </c>
      <c r="AB113" s="22" t="s">
        <v>59</v>
      </c>
      <c r="AC113" s="22" t="s">
        <v>96</v>
      </c>
      <c r="AD113" s="22" t="s">
        <v>38</v>
      </c>
    </row>
    <row r="114" spans="1:30" x14ac:dyDescent="0.25">
      <c r="A114" s="19" t="s">
        <v>11</v>
      </c>
      <c r="B114" s="22" t="s">
        <v>874</v>
      </c>
      <c r="C114" s="21">
        <v>5333533859</v>
      </c>
      <c r="D114" s="21" t="s">
        <v>15</v>
      </c>
      <c r="E114" s="21" t="str">
        <f>IFERROR(VLOOKUP(D114,Tanımlar!C:D,2,0),"- - -")</f>
        <v>PERAKENDE</v>
      </c>
      <c r="F114" s="21">
        <v>111108</v>
      </c>
      <c r="G114" s="21" t="str">
        <f>IFERROR(VLOOKUP(F114,'Personel Bilgi'!A:B,2,0),"- - - ")</f>
        <v>BERKAN COSKUNOZ</v>
      </c>
      <c r="H114" s="21" t="str">
        <f>IFERROR(VLOOKUP(F114,'Personel Bilgi'!A:D,3,0),"- - -")</f>
        <v>KURTHAN FERDI CIHANTIMUR</v>
      </c>
      <c r="I114" s="21" t="str">
        <f>IFERROR(VLOOKUP(F114,'Personel Bilgi'!A:D,4,0),"- - -")</f>
        <v>KARS</v>
      </c>
      <c r="J114" s="21" t="str">
        <f>IFERROR(VLOOKUP(F114,'Personel Bilgi'!A:E,5,0),"- - -")</f>
        <v>MÜŞTERİ TEMSİLCİSİ</v>
      </c>
      <c r="K114" s="19" t="s">
        <v>66</v>
      </c>
      <c r="L114" s="19" t="s">
        <v>41</v>
      </c>
      <c r="M114" s="19" t="s">
        <v>42</v>
      </c>
      <c r="N114" s="36">
        <v>45993</v>
      </c>
      <c r="O114" s="36">
        <v>46006</v>
      </c>
      <c r="P114" s="21" t="s">
        <v>1145</v>
      </c>
      <c r="Q114" s="37" t="s">
        <v>735</v>
      </c>
      <c r="R114" s="21" t="s">
        <v>86</v>
      </c>
      <c r="S114" s="21" t="s">
        <v>92</v>
      </c>
      <c r="T114" s="21" t="s">
        <v>95</v>
      </c>
      <c r="U114" s="21">
        <v>34</v>
      </c>
      <c r="V114" s="21" t="s">
        <v>736</v>
      </c>
      <c r="W114" s="21">
        <v>111108</v>
      </c>
      <c r="X114" s="19" t="str">
        <f>IFERROR(VLOOKUP(W114,'Personel Bilgi'!A:B,2,0),"---")</f>
        <v>BERKAN COSKUNOZ</v>
      </c>
      <c r="Y114" s="19" t="str">
        <f>IFERROR(VLOOKUP(W114,'Personel Bilgi'!A:C,3,0),"---")</f>
        <v>KURTHAN FERDI CIHANTIMUR</v>
      </c>
      <c r="Z114" s="22" t="s">
        <v>95</v>
      </c>
      <c r="AA114" s="22" t="s">
        <v>617</v>
      </c>
      <c r="AB114" s="22" t="s">
        <v>66</v>
      </c>
      <c r="AC114" s="22" t="s">
        <v>41</v>
      </c>
      <c r="AD114" s="22" t="s">
        <v>42</v>
      </c>
    </row>
    <row r="115" spans="1:30" x14ac:dyDescent="0.25">
      <c r="A115" s="19" t="s">
        <v>10</v>
      </c>
      <c r="B115" s="21">
        <v>5395803951</v>
      </c>
      <c r="C115" s="21">
        <v>5395803951</v>
      </c>
      <c r="D115" s="21" t="s">
        <v>15</v>
      </c>
      <c r="E115" s="21" t="str">
        <f>IFERROR(VLOOKUP(D115,Tanımlar!C:D,2,0),"- - -")</f>
        <v>PERAKENDE</v>
      </c>
      <c r="F115" s="21">
        <v>111260</v>
      </c>
      <c r="G115" s="21" t="str">
        <f>IFERROR(VLOOKUP(F115,'Personel Bilgi'!A:B,2,0),"- - - ")</f>
        <v>ESRA SIMSEK</v>
      </c>
      <c r="H115" s="21" t="str">
        <f>IFERROR(VLOOKUP(F115,'Personel Bilgi'!A:D,3,0),"- - -")</f>
        <v>KURTHAN FERDI CIHANTIMUR</v>
      </c>
      <c r="I115" s="21" t="str">
        <f>IFERROR(VLOOKUP(F115,'Personel Bilgi'!A:D,4,0),"- - -")</f>
        <v>KARS</v>
      </c>
      <c r="J115" s="21" t="str">
        <f>IFERROR(VLOOKUP(F115,'Personel Bilgi'!A:E,5,0),"- - -")</f>
        <v>MÜŞTERİ TEMSİLCİSİ</v>
      </c>
      <c r="K115" s="19" t="s">
        <v>65</v>
      </c>
      <c r="L115" s="19" t="s">
        <v>97</v>
      </c>
      <c r="M115" s="19" t="s">
        <v>24</v>
      </c>
      <c r="N115" s="36">
        <v>45994</v>
      </c>
      <c r="O115" s="36">
        <v>46006</v>
      </c>
      <c r="P115" s="19" t="s">
        <v>79</v>
      </c>
      <c r="Q115" s="37" t="s">
        <v>735</v>
      </c>
      <c r="R115" s="19" t="s">
        <v>86</v>
      </c>
      <c r="S115" s="21" t="s">
        <v>92</v>
      </c>
      <c r="T115" s="21" t="s">
        <v>94</v>
      </c>
      <c r="U115" s="21">
        <v>0</v>
      </c>
      <c r="V115" s="21" t="s">
        <v>736</v>
      </c>
      <c r="W115" s="21">
        <v>111260</v>
      </c>
      <c r="X115" s="19" t="str">
        <f>IFERROR(VLOOKUP(W115,'Personel Bilgi'!A:B,2,0),"---")</f>
        <v>ESRA SIMSEK</v>
      </c>
      <c r="Y115" s="19" t="str">
        <f>IFERROR(VLOOKUP(W115,'Personel Bilgi'!A:C,3,0),"---")</f>
        <v>KURTHAN FERDI CIHANTIMUR</v>
      </c>
      <c r="Z115" s="19" t="s">
        <v>94</v>
      </c>
      <c r="AA115" s="22" t="s">
        <v>616</v>
      </c>
      <c r="AB115" s="22" t="s">
        <v>65</v>
      </c>
      <c r="AC115" s="22" t="s">
        <v>97</v>
      </c>
      <c r="AD115" s="22" t="s">
        <v>24</v>
      </c>
    </row>
    <row r="116" spans="1:30" x14ac:dyDescent="0.25">
      <c r="A116" s="19" t="s">
        <v>11</v>
      </c>
      <c r="B116" s="22" t="s">
        <v>875</v>
      </c>
      <c r="C116" s="21">
        <v>5319406308</v>
      </c>
      <c r="D116" s="21" t="s">
        <v>14</v>
      </c>
      <c r="E116" s="21" t="str">
        <f>IFERROR(VLOOKUP(D116,Tanımlar!C:D,2,0),"- - -")</f>
        <v>DAĞITIM</v>
      </c>
      <c r="F116" s="21">
        <v>500182</v>
      </c>
      <c r="G116" s="21" t="str">
        <f>IFERROR(VLOOKUP(F116,'Personel Bilgi'!A:B,2,0),"- - - ")</f>
        <v>KADIR OKAY BOGACLI</v>
      </c>
      <c r="H116" s="21" t="str">
        <f>IFERROR(VLOOKUP(F116,'Personel Bilgi'!A:D,3,0),"- - -")</f>
        <v>TURGUT AKDAG</v>
      </c>
      <c r="I116" s="21" t="str">
        <f>IFERROR(VLOOKUP(F116,'Personel Bilgi'!A:D,4,0),"- - -")</f>
        <v>ERZURUM</v>
      </c>
      <c r="J116" s="21" t="str">
        <f>IFERROR(VLOOKUP(F116,'Personel Bilgi'!A:E,5,0),"- - -")</f>
        <v>MÜŞTERİ TEMSİLCİSİ</v>
      </c>
      <c r="K116" s="19" t="s">
        <v>49</v>
      </c>
      <c r="L116" s="19" t="s">
        <v>97</v>
      </c>
      <c r="M116" s="19" t="s">
        <v>22</v>
      </c>
      <c r="N116" s="36">
        <v>46003</v>
      </c>
      <c r="O116" s="36">
        <v>46006</v>
      </c>
      <c r="P116" s="19" t="s">
        <v>81</v>
      </c>
      <c r="Q116" s="37" t="s">
        <v>735</v>
      </c>
      <c r="R116" s="19" t="s">
        <v>86</v>
      </c>
      <c r="S116" s="21" t="s">
        <v>92</v>
      </c>
      <c r="T116" s="21" t="s">
        <v>95</v>
      </c>
      <c r="U116" s="21">
        <v>85</v>
      </c>
      <c r="V116" s="21" t="s">
        <v>736</v>
      </c>
      <c r="W116" s="21">
        <v>500117</v>
      </c>
      <c r="X116" s="19" t="str">
        <f>IFERROR(VLOOKUP(W116,'Personel Bilgi'!A:B,2,0),"---")</f>
        <v>ZEYNEP KAYA</v>
      </c>
      <c r="Y116" s="19" t="str">
        <f>IFERROR(VLOOKUP(W116,'Personel Bilgi'!A:C,3,0),"---")</f>
        <v>METEHAN EMRE SIRMALI</v>
      </c>
      <c r="Z116" s="22" t="s">
        <v>95</v>
      </c>
      <c r="AA116" s="22" t="s">
        <v>617</v>
      </c>
      <c r="AB116" s="22" t="s">
        <v>49</v>
      </c>
      <c r="AC116" s="22" t="s">
        <v>97</v>
      </c>
      <c r="AD116" s="22" t="s">
        <v>22</v>
      </c>
    </row>
    <row r="117" spans="1:30" x14ac:dyDescent="0.25">
      <c r="A117" s="19" t="s">
        <v>11</v>
      </c>
      <c r="B117" s="22" t="s">
        <v>876</v>
      </c>
      <c r="C117" s="21">
        <v>5444328601</v>
      </c>
      <c r="D117" s="21" t="s">
        <v>14</v>
      </c>
      <c r="E117" s="21" t="str">
        <f>IFERROR(VLOOKUP(D117,Tanımlar!C:D,2,0),"- - -")</f>
        <v>DAĞITIM</v>
      </c>
      <c r="F117" s="21">
        <v>500096</v>
      </c>
      <c r="G117" s="21" t="str">
        <f>IFERROR(VLOOKUP(F117,'Personel Bilgi'!A:B,2,0),"- - - ")</f>
        <v>FURKAN METEROGLU</v>
      </c>
      <c r="H117" s="21" t="str">
        <f>IFERROR(VLOOKUP(F117,'Personel Bilgi'!A:D,3,0),"- - -")</f>
        <v>MEHMET ALI SAVAN</v>
      </c>
      <c r="I117" s="21" t="str">
        <f>IFERROR(VLOOKUP(F117,'Personel Bilgi'!A:D,4,0),"- - -")</f>
        <v>ERZURUM</v>
      </c>
      <c r="J117" s="21" t="str">
        <f>IFERROR(VLOOKUP(F117,'Personel Bilgi'!A:E,5,0),"- - -")</f>
        <v>MÜŞTERİ TEMSİLCİSİ</v>
      </c>
      <c r="K117" s="19" t="s">
        <v>64</v>
      </c>
      <c r="L117" s="19" t="s">
        <v>97</v>
      </c>
      <c r="M117" s="21" t="s">
        <v>44</v>
      </c>
      <c r="N117" s="36">
        <v>46004</v>
      </c>
      <c r="O117" s="36">
        <v>46006</v>
      </c>
      <c r="P117" s="21" t="s">
        <v>81</v>
      </c>
      <c r="Q117" s="37" t="s">
        <v>735</v>
      </c>
      <c r="R117" s="19" t="s">
        <v>86</v>
      </c>
      <c r="S117" s="21" t="s">
        <v>93</v>
      </c>
      <c r="T117" s="21" t="s">
        <v>95</v>
      </c>
      <c r="U117" s="21" t="s">
        <v>735</v>
      </c>
      <c r="V117" s="21" t="s">
        <v>736</v>
      </c>
      <c r="W117" s="21">
        <v>500098</v>
      </c>
      <c r="X117" s="19" t="str">
        <f>IFERROR(VLOOKUP(W117,'Personel Bilgi'!A:B,2,0),"---")</f>
        <v>GAMZE ASLAN</v>
      </c>
      <c r="Y117" s="19" t="str">
        <f>IFERROR(VLOOKUP(W117,'Personel Bilgi'!A:C,3,0),"---")</f>
        <v>MEHMET ALI SAVAN</v>
      </c>
      <c r="Z117" s="22" t="s">
        <v>94</v>
      </c>
      <c r="AA117" s="22" t="s">
        <v>616</v>
      </c>
      <c r="AB117" s="22" t="s">
        <v>64</v>
      </c>
      <c r="AC117" s="22" t="s">
        <v>97</v>
      </c>
      <c r="AD117" s="22" t="s">
        <v>44</v>
      </c>
    </row>
    <row r="118" spans="1:30" x14ac:dyDescent="0.25">
      <c r="A118" s="19" t="s">
        <v>11</v>
      </c>
      <c r="B118" s="22" t="s">
        <v>877</v>
      </c>
      <c r="C118" s="21">
        <v>5377658792</v>
      </c>
      <c r="D118" s="21" t="s">
        <v>14</v>
      </c>
      <c r="E118" s="21" t="str">
        <f>IFERROR(VLOOKUP(D118,Tanımlar!C:D,2,0),"- - -")</f>
        <v>DAĞITIM</v>
      </c>
      <c r="F118" s="21">
        <v>111173</v>
      </c>
      <c r="G118" s="21" t="str">
        <f>IFERROR(VLOOKUP(F118,'Personel Bilgi'!A:B,2,0),"- - - ")</f>
        <v>CIGDEM CEVATOGLU</v>
      </c>
      <c r="H118" s="21" t="str">
        <f>IFERROR(VLOOKUP(F118,'Personel Bilgi'!A:D,3,0),"- - -")</f>
        <v>MUSTAFA OZAYAG</v>
      </c>
      <c r="I118" s="21" t="str">
        <f>IFERROR(VLOOKUP(F118,'Personel Bilgi'!A:D,4,0),"- - -")</f>
        <v>KARS</v>
      </c>
      <c r="J118" s="21" t="str">
        <f>IFERROR(VLOOKUP(F118,'Personel Bilgi'!A:E,5,0),"- - -")</f>
        <v>MÜŞTERİ TEMSİLCİSİ</v>
      </c>
      <c r="K118" s="19" t="s">
        <v>59</v>
      </c>
      <c r="L118" s="19" t="s">
        <v>96</v>
      </c>
      <c r="M118" s="21" t="s">
        <v>38</v>
      </c>
      <c r="N118" s="36">
        <v>46004</v>
      </c>
      <c r="O118" s="36">
        <v>46006</v>
      </c>
      <c r="P118" s="19" t="s">
        <v>81</v>
      </c>
      <c r="Q118" s="37" t="s">
        <v>735</v>
      </c>
      <c r="R118" s="19" t="s">
        <v>86</v>
      </c>
      <c r="S118" s="21" t="s">
        <v>92</v>
      </c>
      <c r="T118" s="21" t="s">
        <v>95</v>
      </c>
      <c r="U118" s="21">
        <v>65</v>
      </c>
      <c r="V118" s="21" t="s">
        <v>736</v>
      </c>
      <c r="W118" s="21">
        <v>500136</v>
      </c>
      <c r="X118" s="19" t="str">
        <f>IFERROR(VLOOKUP(W118,'Personel Bilgi'!A:B,2,0),"---")</f>
        <v>SEYMANUR GORMEZ</v>
      </c>
      <c r="Y118" s="19" t="str">
        <f>IFERROR(VLOOKUP(W118,'Personel Bilgi'!A:C,3,0),"---")</f>
        <v>SAMET KOCABEYOGLU</v>
      </c>
      <c r="Z118" s="22" t="s">
        <v>94</v>
      </c>
      <c r="AA118" s="22" t="s">
        <v>616</v>
      </c>
      <c r="AB118" s="22" t="s">
        <v>59</v>
      </c>
      <c r="AC118" s="22" t="s">
        <v>96</v>
      </c>
      <c r="AD118" s="22" t="s">
        <v>38</v>
      </c>
    </row>
    <row r="119" spans="1:30" x14ac:dyDescent="0.25">
      <c r="A119" s="19" t="s">
        <v>11</v>
      </c>
      <c r="B119" s="22" t="s">
        <v>878</v>
      </c>
      <c r="C119" s="21">
        <v>5537679907</v>
      </c>
      <c r="D119" s="21" t="s">
        <v>14</v>
      </c>
      <c r="E119" s="21" t="str">
        <f>IFERROR(VLOOKUP(D119,Tanımlar!C:D,2,0),"- - -")</f>
        <v>DAĞITIM</v>
      </c>
      <c r="F119" s="21">
        <v>111249</v>
      </c>
      <c r="G119" s="21" t="str">
        <f>IFERROR(VLOOKUP(F119,'Personel Bilgi'!A:B,2,0),"- - - ")</f>
        <v>EYUPHAN ATAS</v>
      </c>
      <c r="H119" s="21" t="str">
        <f>IFERROR(VLOOKUP(F119,'Personel Bilgi'!A:D,3,0),"- - -")</f>
        <v>SEDA SEBU</v>
      </c>
      <c r="I119" s="21" t="str">
        <f>IFERROR(VLOOKUP(F119,'Personel Bilgi'!A:D,4,0),"- - -")</f>
        <v>KARS</v>
      </c>
      <c r="J119" s="21" t="str">
        <f>IFERROR(VLOOKUP(F119,'Personel Bilgi'!A:E,5,0),"- - -")</f>
        <v>MÜŞTERİ TEMSİLCİSİ</v>
      </c>
      <c r="K119" s="19" t="s">
        <v>64</v>
      </c>
      <c r="L119" s="19" t="s">
        <v>97</v>
      </c>
      <c r="M119" s="21" t="s">
        <v>44</v>
      </c>
      <c r="N119" s="36">
        <v>46005</v>
      </c>
      <c r="O119" s="36">
        <v>46006</v>
      </c>
      <c r="P119" s="21" t="s">
        <v>81</v>
      </c>
      <c r="Q119" s="37" t="s">
        <v>735</v>
      </c>
      <c r="R119" s="19" t="s">
        <v>86</v>
      </c>
      <c r="S119" s="21" t="s">
        <v>93</v>
      </c>
      <c r="T119" s="21" t="s">
        <v>95</v>
      </c>
      <c r="U119" s="21" t="s">
        <v>735</v>
      </c>
      <c r="V119" s="21" t="s">
        <v>736</v>
      </c>
      <c r="W119" s="21">
        <v>111103</v>
      </c>
      <c r="X119" s="19" t="str">
        <f>IFERROR(VLOOKUP(W119,'Personel Bilgi'!A:B,2,0),"---")</f>
        <v>MUKERREM ACAT</v>
      </c>
      <c r="Y119" s="19" t="str">
        <f>IFERROR(VLOOKUP(W119,'Personel Bilgi'!A:C,3,0),"---")</f>
        <v>MUHAMMET AKSU</v>
      </c>
      <c r="Z119" s="22" t="s">
        <v>95</v>
      </c>
      <c r="AA119" s="22" t="s">
        <v>617</v>
      </c>
      <c r="AB119" s="22" t="s">
        <v>64</v>
      </c>
      <c r="AC119" s="22" t="s">
        <v>97</v>
      </c>
      <c r="AD119" s="22" t="s">
        <v>44</v>
      </c>
    </row>
    <row r="120" spans="1:30" x14ac:dyDescent="0.25">
      <c r="A120" s="19" t="s">
        <v>11</v>
      </c>
      <c r="B120" s="22" t="s">
        <v>879</v>
      </c>
      <c r="C120" s="21">
        <v>5456508661</v>
      </c>
      <c r="D120" s="21" t="s">
        <v>14</v>
      </c>
      <c r="E120" s="21" t="str">
        <f>IFERROR(VLOOKUP(D120,Tanımlar!C:D,2,0),"- - -")</f>
        <v>DAĞITIM</v>
      </c>
      <c r="F120" s="21">
        <v>111197</v>
      </c>
      <c r="G120" s="21" t="str">
        <f>IFERROR(VLOOKUP(F120,'Personel Bilgi'!A:B,2,0),"- - - ")</f>
        <v>SONGUL YAGCI</v>
      </c>
      <c r="H120" s="21" t="str">
        <f>IFERROR(VLOOKUP(F120,'Personel Bilgi'!A:D,3,0),"- - -")</f>
        <v>SEDA SEBU</v>
      </c>
      <c r="I120" s="21" t="str">
        <f>IFERROR(VLOOKUP(F120,'Personel Bilgi'!A:D,4,0),"- - -")</f>
        <v>KARS</v>
      </c>
      <c r="J120" s="21" t="str">
        <f>IFERROR(VLOOKUP(F120,'Personel Bilgi'!A:E,5,0),"- - -")</f>
        <v>MÜŞTERİ TEMSİLCİSİ</v>
      </c>
      <c r="K120" s="19" t="s">
        <v>49</v>
      </c>
      <c r="L120" s="19" t="s">
        <v>96</v>
      </c>
      <c r="M120" s="19" t="s">
        <v>40</v>
      </c>
      <c r="N120" s="36">
        <v>46005</v>
      </c>
      <c r="O120" s="36">
        <v>46006</v>
      </c>
      <c r="P120" s="21" t="s">
        <v>81</v>
      </c>
      <c r="Q120" s="37" t="s">
        <v>735</v>
      </c>
      <c r="R120" s="19" t="s">
        <v>86</v>
      </c>
      <c r="S120" s="21" t="s">
        <v>92</v>
      </c>
      <c r="T120" s="21" t="s">
        <v>95</v>
      </c>
      <c r="U120" s="21">
        <v>100</v>
      </c>
      <c r="V120" s="21" t="s">
        <v>736</v>
      </c>
      <c r="W120" s="21">
        <v>500050</v>
      </c>
      <c r="X120" s="19" t="str">
        <f>IFERROR(VLOOKUP(W120,'Personel Bilgi'!A:B,2,0),"---")</f>
        <v>GOZDENUR YILMAZ</v>
      </c>
      <c r="Y120" s="19" t="str">
        <f>IFERROR(VLOOKUP(W120,'Personel Bilgi'!A:C,3,0),"---")</f>
        <v>MEHMET ALI SAVAN</v>
      </c>
      <c r="Z120" s="22" t="s">
        <v>95</v>
      </c>
      <c r="AA120" s="22" t="s">
        <v>617</v>
      </c>
      <c r="AB120" s="22" t="s">
        <v>49</v>
      </c>
      <c r="AC120" s="22" t="s">
        <v>96</v>
      </c>
      <c r="AD120" s="22" t="s">
        <v>40</v>
      </c>
    </row>
    <row r="121" spans="1:30" x14ac:dyDescent="0.25">
      <c r="A121" s="19" t="s">
        <v>11</v>
      </c>
      <c r="B121" s="21" t="s">
        <v>843</v>
      </c>
      <c r="C121" s="21">
        <v>5466766546</v>
      </c>
      <c r="D121" s="21" t="s">
        <v>12</v>
      </c>
      <c r="E121" s="21" t="str">
        <f>IFERROR(VLOOKUP(D121,Tanımlar!C:D,2,0),"- - -")</f>
        <v>DAĞITIM</v>
      </c>
      <c r="F121" s="21">
        <v>500150</v>
      </c>
      <c r="G121" s="21" t="str">
        <f>IFERROR(VLOOKUP(F121,'Personel Bilgi'!A:B,2,0),"- - - ")</f>
        <v>ELIF BOGATEKIN</v>
      </c>
      <c r="H121" s="21" t="str">
        <f>IFERROR(VLOOKUP(F121,'Personel Bilgi'!A:D,3,0),"- - -")</f>
        <v>KURSAD TERCANLI</v>
      </c>
      <c r="I121" s="21" t="str">
        <f>IFERROR(VLOOKUP(F121,'Personel Bilgi'!A:D,4,0),"- - -")</f>
        <v>ERZURUM</v>
      </c>
      <c r="J121" s="21" t="str">
        <f>IFERROR(VLOOKUP(F121,'Personel Bilgi'!A:E,5,0),"- - -")</f>
        <v>MÜŞTERİ TEMSİLCİSİ</v>
      </c>
      <c r="K121" s="19" t="s">
        <v>49</v>
      </c>
      <c r="L121" s="19" t="s">
        <v>97</v>
      </c>
      <c r="M121" s="19" t="s">
        <v>734</v>
      </c>
      <c r="N121" s="36">
        <v>45997</v>
      </c>
      <c r="O121" s="36">
        <v>46006</v>
      </c>
      <c r="P121" s="21" t="s">
        <v>81</v>
      </c>
      <c r="Q121" s="37" t="s">
        <v>735</v>
      </c>
      <c r="R121" s="19" t="s">
        <v>86</v>
      </c>
      <c r="S121" s="21" t="s">
        <v>92</v>
      </c>
      <c r="T121" s="21" t="s">
        <v>95</v>
      </c>
      <c r="U121" s="21">
        <v>85</v>
      </c>
      <c r="V121" s="21" t="s">
        <v>736</v>
      </c>
      <c r="W121" s="21">
        <v>500050</v>
      </c>
      <c r="X121" s="19" t="str">
        <f>IFERROR(VLOOKUP(W121,'Personel Bilgi'!A:B,2,0),"---")</f>
        <v>GOZDENUR YILMAZ</v>
      </c>
      <c r="Y121" s="19" t="str">
        <f>IFERROR(VLOOKUP(W121,'Personel Bilgi'!A:C,3,0),"---")</f>
        <v>MEHMET ALI SAVAN</v>
      </c>
      <c r="Z121" s="22" t="s">
        <v>95</v>
      </c>
      <c r="AA121" s="22" t="s">
        <v>617</v>
      </c>
      <c r="AB121" s="22" t="s">
        <v>49</v>
      </c>
      <c r="AC121" s="22" t="s">
        <v>97</v>
      </c>
      <c r="AD121" s="22" t="s">
        <v>734</v>
      </c>
    </row>
    <row r="122" spans="1:30" x14ac:dyDescent="0.25">
      <c r="A122" s="19" t="s">
        <v>11</v>
      </c>
      <c r="B122" s="22" t="s">
        <v>880</v>
      </c>
      <c r="C122" s="21">
        <v>2165313030</v>
      </c>
      <c r="D122" s="21" t="s">
        <v>15</v>
      </c>
      <c r="E122" s="21" t="str">
        <f>IFERROR(VLOOKUP(D122,Tanımlar!C:D,2,0),"- - -")</f>
        <v>PERAKENDE</v>
      </c>
      <c r="F122" s="21">
        <v>111031</v>
      </c>
      <c r="G122" s="21" t="str">
        <f>IFERROR(VLOOKUP(F122,'Personel Bilgi'!A:B,2,0),"- - - ")</f>
        <v>MUHAMMED EREN KAYA</v>
      </c>
      <c r="H122" s="21" t="str">
        <f>IFERROR(VLOOKUP(F122,'Personel Bilgi'!A:D,3,0),"- - -")</f>
        <v>YAREN OZAYAG</v>
      </c>
      <c r="I122" s="21" t="str">
        <f>IFERROR(VLOOKUP(F122,'Personel Bilgi'!A:D,4,0),"- - -")</f>
        <v>KARS</v>
      </c>
      <c r="J122" s="21" t="str">
        <f>IFERROR(VLOOKUP(F122,'Personel Bilgi'!A:E,5,0),"- - -")</f>
        <v>MÜŞTERİ TEMSİLCİSİ</v>
      </c>
      <c r="K122" s="19" t="s">
        <v>65</v>
      </c>
      <c r="L122" s="19" t="s">
        <v>97</v>
      </c>
      <c r="M122" s="19" t="s">
        <v>21</v>
      </c>
      <c r="N122" s="36">
        <v>46001</v>
      </c>
      <c r="O122" s="36">
        <v>46006</v>
      </c>
      <c r="P122" s="21" t="s">
        <v>81</v>
      </c>
      <c r="Q122" s="37" t="s">
        <v>735</v>
      </c>
      <c r="R122" s="19" t="s">
        <v>86</v>
      </c>
      <c r="S122" s="21" t="s">
        <v>92</v>
      </c>
      <c r="T122" s="21" t="s">
        <v>95</v>
      </c>
      <c r="U122" s="21">
        <v>90</v>
      </c>
      <c r="V122" s="21" t="s">
        <v>736</v>
      </c>
      <c r="W122" s="21">
        <v>111285</v>
      </c>
      <c r="X122" s="19" t="str">
        <f>IFERROR(VLOOKUP(W122,'Personel Bilgi'!A:B,2,0),"---")</f>
        <v>AYCE IDIL ERKMEN</v>
      </c>
      <c r="Y122" s="19" t="str">
        <f>IFERROR(VLOOKUP(W122,'Personel Bilgi'!A:C,3,0),"---")</f>
        <v>YAPRAK KARAKOC</v>
      </c>
      <c r="Z122" s="22" t="s">
        <v>95</v>
      </c>
      <c r="AA122" s="22" t="s">
        <v>617</v>
      </c>
      <c r="AB122" s="22" t="s">
        <v>65</v>
      </c>
      <c r="AC122" s="22" t="s">
        <v>97</v>
      </c>
      <c r="AD122" s="22" t="s">
        <v>21</v>
      </c>
    </row>
    <row r="123" spans="1:30" x14ac:dyDescent="0.25">
      <c r="A123" s="19" t="s">
        <v>11</v>
      </c>
      <c r="B123" s="21" t="s">
        <v>843</v>
      </c>
      <c r="C123" s="21">
        <v>5466766546</v>
      </c>
      <c r="D123" s="21" t="s">
        <v>12</v>
      </c>
      <c r="E123" s="21" t="str">
        <f>IFERROR(VLOOKUP(D123,Tanımlar!C:D,2,0),"- - -")</f>
        <v>DAĞITIM</v>
      </c>
      <c r="F123" s="21">
        <v>500110</v>
      </c>
      <c r="G123" s="21" t="str">
        <f>IFERROR(VLOOKUP(F123,'Personel Bilgi'!A:B,2,0),"- - - ")</f>
        <v>OMER BAYRAM</v>
      </c>
      <c r="H123" s="21" t="str">
        <f>IFERROR(VLOOKUP(F123,'Personel Bilgi'!A:D,3,0),"- - -")</f>
        <v>METEHAN EMRE SIRMALI</v>
      </c>
      <c r="I123" s="21" t="str">
        <f>IFERROR(VLOOKUP(F123,'Personel Bilgi'!A:D,4,0),"- - -")</f>
        <v>ERZURUM</v>
      </c>
      <c r="J123" s="21" t="str">
        <f>IFERROR(VLOOKUP(F123,'Personel Bilgi'!A:E,5,0),"- - -")</f>
        <v>MÜŞTERİ TEMSİLCİSİ</v>
      </c>
      <c r="K123" s="19" t="s">
        <v>49</v>
      </c>
      <c r="L123" s="19" t="s">
        <v>97</v>
      </c>
      <c r="M123" s="19" t="s">
        <v>734</v>
      </c>
      <c r="N123" s="36">
        <v>45997</v>
      </c>
      <c r="O123" s="36">
        <v>46006</v>
      </c>
      <c r="P123" s="21" t="s">
        <v>81</v>
      </c>
      <c r="Q123" s="37" t="s">
        <v>735</v>
      </c>
      <c r="R123" s="19" t="s">
        <v>86</v>
      </c>
      <c r="S123" s="21" t="s">
        <v>92</v>
      </c>
      <c r="T123" s="21" t="s">
        <v>95</v>
      </c>
      <c r="U123" s="21">
        <v>90</v>
      </c>
      <c r="V123" s="21" t="s">
        <v>736</v>
      </c>
      <c r="W123" s="21">
        <v>111285</v>
      </c>
      <c r="X123" s="19" t="str">
        <f>IFERROR(VLOOKUP(W123,'Personel Bilgi'!A:B,2,0),"---")</f>
        <v>AYCE IDIL ERKMEN</v>
      </c>
      <c r="Y123" s="19" t="str">
        <f>IFERROR(VLOOKUP(W123,'Personel Bilgi'!A:C,3,0),"---")</f>
        <v>YAPRAK KARAKOC</v>
      </c>
      <c r="Z123" s="22" t="s">
        <v>95</v>
      </c>
      <c r="AA123" s="22" t="s">
        <v>617</v>
      </c>
      <c r="AB123" s="22" t="s">
        <v>49</v>
      </c>
      <c r="AC123" s="22" t="s">
        <v>97</v>
      </c>
      <c r="AD123" s="22" t="s">
        <v>734</v>
      </c>
    </row>
    <row r="124" spans="1:30" x14ac:dyDescent="0.25">
      <c r="A124" s="19" t="s">
        <v>11</v>
      </c>
      <c r="B124" s="21" t="s">
        <v>881</v>
      </c>
      <c r="C124" s="21">
        <v>5433361944</v>
      </c>
      <c r="D124" s="21" t="s">
        <v>15</v>
      </c>
      <c r="E124" s="21" t="str">
        <f>IFERROR(VLOOKUP(D124,Tanımlar!C:D,2,0),"- - -")</f>
        <v>PERAKENDE</v>
      </c>
      <c r="F124" s="21">
        <v>600592</v>
      </c>
      <c r="G124" s="21" t="str">
        <f>IFERROR(VLOOKUP(F124,'Personel Bilgi'!A:B,2,0),"- - - ")</f>
        <v>MELIKE ILAYDA CAL</v>
      </c>
      <c r="H124" s="21" t="str">
        <f>IFERROR(VLOOKUP(F124,'Personel Bilgi'!A:D,3,0),"- - -")</f>
        <v>ASYA DAG</v>
      </c>
      <c r="I124" s="21" t="str">
        <f>IFERROR(VLOOKUP(F124,'Personel Bilgi'!A:D,4,0),"- - -")</f>
        <v>ANKARA</v>
      </c>
      <c r="J124" s="21" t="str">
        <f>IFERROR(VLOOKUP(F124,'Personel Bilgi'!A:E,5,0),"- - -")</f>
        <v>TAKIM LİDERİ</v>
      </c>
      <c r="K124" s="19" t="s">
        <v>66</v>
      </c>
      <c r="L124" s="19" t="s">
        <v>47</v>
      </c>
      <c r="M124" s="19" t="s">
        <v>603</v>
      </c>
      <c r="N124" s="36">
        <v>46002</v>
      </c>
      <c r="O124" s="36">
        <v>46006</v>
      </c>
      <c r="P124" s="19" t="s">
        <v>80</v>
      </c>
      <c r="Q124" s="37" t="s">
        <v>735</v>
      </c>
      <c r="R124" s="19" t="s">
        <v>86</v>
      </c>
      <c r="S124" s="21" t="s">
        <v>92</v>
      </c>
      <c r="T124" s="21" t="s">
        <v>95</v>
      </c>
      <c r="U124" s="21">
        <v>90</v>
      </c>
      <c r="V124" s="21" t="s">
        <v>736</v>
      </c>
      <c r="W124" s="21">
        <v>111285</v>
      </c>
      <c r="X124" s="19" t="str">
        <f>IFERROR(VLOOKUP(W124,'Personel Bilgi'!A:B,2,0),"---")</f>
        <v>AYCE IDIL ERKMEN</v>
      </c>
      <c r="Y124" s="19" t="str">
        <f>IFERROR(VLOOKUP(W124,'Personel Bilgi'!A:C,3,0),"---")</f>
        <v>YAPRAK KARAKOC</v>
      </c>
      <c r="Z124" s="22" t="s">
        <v>95</v>
      </c>
      <c r="AA124" s="22" t="s">
        <v>617</v>
      </c>
      <c r="AB124" s="22" t="s">
        <v>66</v>
      </c>
      <c r="AC124" s="22" t="s">
        <v>47</v>
      </c>
      <c r="AD124" s="22" t="s">
        <v>603</v>
      </c>
    </row>
    <row r="125" spans="1:30" x14ac:dyDescent="0.25">
      <c r="A125" s="19" t="s">
        <v>11</v>
      </c>
      <c r="B125" s="20" t="s">
        <v>882</v>
      </c>
      <c r="C125" s="21">
        <v>5422161903</v>
      </c>
      <c r="D125" s="21" t="s">
        <v>15</v>
      </c>
      <c r="E125" s="21" t="str">
        <f>IFERROR(VLOOKUP(D125,Tanımlar!C:D,2,0),"- - -")</f>
        <v>PERAKENDE</v>
      </c>
      <c r="F125" s="21">
        <v>500087</v>
      </c>
      <c r="G125" s="21" t="str">
        <f>IFERROR(VLOOKUP(F125,'Personel Bilgi'!A:B,2,0),"- - - ")</f>
        <v>DILANUR KOMUR</v>
      </c>
      <c r="H125" s="21" t="str">
        <f>IFERROR(VLOOKUP(F125,'Personel Bilgi'!A:D,3,0),"- - -")</f>
        <v>SALTUK BUGRAHAN TAYMUS</v>
      </c>
      <c r="I125" s="21" t="str">
        <f>IFERROR(VLOOKUP(F125,'Personel Bilgi'!A:D,4,0),"- - -")</f>
        <v>ERZURUM</v>
      </c>
      <c r="J125" s="21" t="str">
        <f>IFERROR(VLOOKUP(F125,'Personel Bilgi'!A:E,5,0),"- - -")</f>
        <v>MÜŞTERİ TEMSİLCİSİ</v>
      </c>
      <c r="K125" s="19" t="s">
        <v>64</v>
      </c>
      <c r="L125" s="19" t="s">
        <v>97</v>
      </c>
      <c r="M125" s="21" t="s">
        <v>44</v>
      </c>
      <c r="N125" s="36">
        <v>46002</v>
      </c>
      <c r="O125" s="36">
        <v>46006</v>
      </c>
      <c r="P125" s="21" t="s">
        <v>81</v>
      </c>
      <c r="Q125" s="37" t="s">
        <v>735</v>
      </c>
      <c r="R125" s="19" t="s">
        <v>86</v>
      </c>
      <c r="S125" s="21" t="s">
        <v>93</v>
      </c>
      <c r="T125" s="21" t="s">
        <v>95</v>
      </c>
      <c r="U125" s="21" t="s">
        <v>735</v>
      </c>
      <c r="V125" s="21" t="s">
        <v>736</v>
      </c>
      <c r="W125" s="21">
        <v>111031</v>
      </c>
      <c r="X125" s="19" t="str">
        <f>IFERROR(VLOOKUP(W125,'Personel Bilgi'!A:B,2,0),"---")</f>
        <v>MUHAMMED EREN KAYA</v>
      </c>
      <c r="Y125" s="19" t="str">
        <f>IFERROR(VLOOKUP(W125,'Personel Bilgi'!A:C,3,0),"---")</f>
        <v>YAREN OZAYAG</v>
      </c>
      <c r="Z125" s="22" t="s">
        <v>95</v>
      </c>
      <c r="AA125" s="22" t="s">
        <v>617</v>
      </c>
      <c r="AB125" s="22" t="s">
        <v>64</v>
      </c>
      <c r="AC125" s="22" t="s">
        <v>97</v>
      </c>
      <c r="AD125" s="22" t="s">
        <v>44</v>
      </c>
    </row>
    <row r="126" spans="1:30" x14ac:dyDescent="0.25">
      <c r="A126" s="19" t="s">
        <v>11</v>
      </c>
      <c r="B126" s="20" t="s">
        <v>882</v>
      </c>
      <c r="C126" s="21">
        <v>5422161903</v>
      </c>
      <c r="D126" s="21" t="s">
        <v>15</v>
      </c>
      <c r="E126" s="21" t="str">
        <f>IFERROR(VLOOKUP(D126,Tanımlar!C:D,2,0),"- - -")</f>
        <v>PERAKENDE</v>
      </c>
      <c r="F126" s="21">
        <v>500089</v>
      </c>
      <c r="G126" s="21" t="str">
        <f>IFERROR(VLOOKUP(F126,'Personel Bilgi'!A:B,2,0),"- - - ")</f>
        <v>CANAN KUCUKBATMAN</v>
      </c>
      <c r="H126" s="21" t="str">
        <f>IFERROR(VLOOKUP(F126,'Personel Bilgi'!A:D,3,0),"- - -")</f>
        <v>METEHAN EMRE SIRMALI</v>
      </c>
      <c r="I126" s="21" t="str">
        <f>IFERROR(VLOOKUP(F126,'Personel Bilgi'!A:D,4,0),"- - -")</f>
        <v>ERZURUM</v>
      </c>
      <c r="J126" s="21" t="str">
        <f>IFERROR(VLOOKUP(F126,'Personel Bilgi'!A:E,5,0),"- - -")</f>
        <v>MÜŞTERİ TEMSİLCİSİ</v>
      </c>
      <c r="K126" s="19" t="s">
        <v>64</v>
      </c>
      <c r="L126" s="19" t="s">
        <v>97</v>
      </c>
      <c r="M126" s="21" t="s">
        <v>44</v>
      </c>
      <c r="N126" s="36">
        <v>46002</v>
      </c>
      <c r="O126" s="36">
        <v>46006</v>
      </c>
      <c r="P126" s="21" t="s">
        <v>81</v>
      </c>
      <c r="Q126" s="37" t="s">
        <v>735</v>
      </c>
      <c r="R126" s="19" t="s">
        <v>86</v>
      </c>
      <c r="S126" s="21" t="s">
        <v>93</v>
      </c>
      <c r="T126" s="21" t="s">
        <v>95</v>
      </c>
      <c r="U126" s="21" t="s">
        <v>735</v>
      </c>
      <c r="V126" s="21" t="s">
        <v>736</v>
      </c>
      <c r="W126" s="21">
        <v>111031</v>
      </c>
      <c r="X126" s="19" t="str">
        <f>IFERROR(VLOOKUP(W126,'Personel Bilgi'!A:B,2,0),"---")</f>
        <v>MUHAMMED EREN KAYA</v>
      </c>
      <c r="Y126" s="19" t="str">
        <f>IFERROR(VLOOKUP(W126,'Personel Bilgi'!A:C,3,0),"---")</f>
        <v>YAREN OZAYAG</v>
      </c>
      <c r="Z126" s="22" t="s">
        <v>95</v>
      </c>
      <c r="AA126" s="22" t="s">
        <v>617</v>
      </c>
      <c r="AB126" s="22" t="s">
        <v>64</v>
      </c>
      <c r="AC126" s="22" t="s">
        <v>97</v>
      </c>
      <c r="AD126" s="22" t="s">
        <v>44</v>
      </c>
    </row>
    <row r="127" spans="1:30" x14ac:dyDescent="0.25">
      <c r="A127" s="19" t="s">
        <v>11</v>
      </c>
      <c r="B127" s="20" t="s">
        <v>882</v>
      </c>
      <c r="C127" s="21">
        <v>5422161903</v>
      </c>
      <c r="D127" s="21" t="s">
        <v>15</v>
      </c>
      <c r="E127" s="21" t="str">
        <f>IFERROR(VLOOKUP(D127,Tanımlar!C:D,2,0),"- - -")</f>
        <v>PERAKENDE</v>
      </c>
      <c r="F127" s="21">
        <v>111251</v>
      </c>
      <c r="G127" s="21" t="str">
        <f>IFERROR(VLOOKUP(F127,'Personel Bilgi'!A:B,2,0),"- - - ")</f>
        <v>HABIBE KESKIN</v>
      </c>
      <c r="H127" s="21" t="str">
        <f>IFERROR(VLOOKUP(F127,'Personel Bilgi'!A:D,3,0),"- - -")</f>
        <v>YAREN OZAYAG</v>
      </c>
      <c r="I127" s="21" t="str">
        <f>IFERROR(VLOOKUP(F127,'Personel Bilgi'!A:D,4,0),"- - -")</f>
        <v>KARS</v>
      </c>
      <c r="J127" s="21" t="str">
        <f>IFERROR(VLOOKUP(F127,'Personel Bilgi'!A:E,5,0),"- - -")</f>
        <v>MÜŞTERİ TEMSİLCİSİ</v>
      </c>
      <c r="K127" s="19" t="s">
        <v>64</v>
      </c>
      <c r="L127" s="19" t="s">
        <v>97</v>
      </c>
      <c r="M127" s="21" t="s">
        <v>44</v>
      </c>
      <c r="N127" s="36">
        <v>46002</v>
      </c>
      <c r="O127" s="36">
        <v>46006</v>
      </c>
      <c r="P127" s="21" t="s">
        <v>81</v>
      </c>
      <c r="Q127" s="37" t="s">
        <v>735</v>
      </c>
      <c r="R127" s="19" t="s">
        <v>86</v>
      </c>
      <c r="S127" s="21" t="s">
        <v>93</v>
      </c>
      <c r="T127" s="21" t="s">
        <v>95</v>
      </c>
      <c r="U127" s="21" t="s">
        <v>735</v>
      </c>
      <c r="V127" s="21" t="s">
        <v>736</v>
      </c>
      <c r="W127" s="21">
        <v>111031</v>
      </c>
      <c r="X127" s="19" t="str">
        <f>IFERROR(VLOOKUP(W127,'Personel Bilgi'!A:B,2,0),"---")</f>
        <v>MUHAMMED EREN KAYA</v>
      </c>
      <c r="Y127" s="19" t="str">
        <f>IFERROR(VLOOKUP(W127,'Personel Bilgi'!A:C,3,0),"---")</f>
        <v>YAREN OZAYAG</v>
      </c>
      <c r="Z127" s="22" t="s">
        <v>95</v>
      </c>
      <c r="AA127" s="22" t="s">
        <v>617</v>
      </c>
      <c r="AB127" s="22" t="s">
        <v>64</v>
      </c>
      <c r="AC127" s="22" t="s">
        <v>97</v>
      </c>
      <c r="AD127" s="22" t="s">
        <v>44</v>
      </c>
    </row>
    <row r="128" spans="1:30" x14ac:dyDescent="0.25">
      <c r="A128" s="19" t="s">
        <v>11</v>
      </c>
      <c r="B128" s="20" t="s">
        <v>882</v>
      </c>
      <c r="C128" s="21">
        <v>5422161903</v>
      </c>
      <c r="D128" s="21" t="s">
        <v>15</v>
      </c>
      <c r="E128" s="21" t="str">
        <f>IFERROR(VLOOKUP(D128,Tanımlar!C:D,2,0),"- - -")</f>
        <v>PERAKENDE</v>
      </c>
      <c r="F128" s="21">
        <v>111049</v>
      </c>
      <c r="G128" s="21" t="str">
        <f>IFERROR(VLOOKUP(F128,'Personel Bilgi'!A:B,2,0),"- - - ")</f>
        <v>BUSRA YILDIRIM</v>
      </c>
      <c r="H128" s="21" t="str">
        <f>IFERROR(VLOOKUP(F128,'Personel Bilgi'!A:D,3,0),"- - -")</f>
        <v>YAREN OZAYAG</v>
      </c>
      <c r="I128" s="21" t="str">
        <f>IFERROR(VLOOKUP(F128,'Personel Bilgi'!A:D,4,0),"- - -")</f>
        <v>KARS</v>
      </c>
      <c r="J128" s="21" t="str">
        <f>IFERROR(VLOOKUP(F128,'Personel Bilgi'!A:E,5,0),"- - -")</f>
        <v>MÜŞTERİ TEMSİLCİSİ</v>
      </c>
      <c r="K128" s="19" t="s">
        <v>64</v>
      </c>
      <c r="L128" s="19" t="s">
        <v>97</v>
      </c>
      <c r="M128" s="21" t="s">
        <v>44</v>
      </c>
      <c r="N128" s="36">
        <v>46002</v>
      </c>
      <c r="O128" s="36">
        <v>46006</v>
      </c>
      <c r="P128" s="21" t="s">
        <v>81</v>
      </c>
      <c r="Q128" s="37" t="s">
        <v>735</v>
      </c>
      <c r="R128" s="19" t="s">
        <v>86</v>
      </c>
      <c r="S128" s="21" t="s">
        <v>93</v>
      </c>
      <c r="T128" s="21" t="s">
        <v>95</v>
      </c>
      <c r="U128" s="21" t="s">
        <v>735</v>
      </c>
      <c r="V128" s="21" t="s">
        <v>736</v>
      </c>
      <c r="W128" s="21">
        <v>111031</v>
      </c>
      <c r="X128" s="19" t="str">
        <f>IFERROR(VLOOKUP(W128,'Personel Bilgi'!A:B,2,0),"---")</f>
        <v>MUHAMMED EREN KAYA</v>
      </c>
      <c r="Y128" s="19" t="str">
        <f>IFERROR(VLOOKUP(W128,'Personel Bilgi'!A:C,3,0),"---")</f>
        <v>YAREN OZAYAG</v>
      </c>
      <c r="Z128" s="22" t="s">
        <v>95</v>
      </c>
      <c r="AA128" s="22" t="s">
        <v>617</v>
      </c>
      <c r="AB128" s="22" t="s">
        <v>64</v>
      </c>
      <c r="AC128" s="22" t="s">
        <v>97</v>
      </c>
      <c r="AD128" s="22" t="s">
        <v>44</v>
      </c>
    </row>
    <row r="129" spans="1:31" x14ac:dyDescent="0.25">
      <c r="A129" s="19" t="s">
        <v>11</v>
      </c>
      <c r="B129" s="22" t="s">
        <v>883</v>
      </c>
      <c r="C129" s="21">
        <v>5378146222</v>
      </c>
      <c r="D129" s="21" t="s">
        <v>15</v>
      </c>
      <c r="E129" s="21" t="str">
        <f>IFERROR(VLOOKUP(D129,Tanımlar!C:D,2,0),"- - -")</f>
        <v>PERAKENDE</v>
      </c>
      <c r="F129" s="21">
        <v>111267</v>
      </c>
      <c r="G129" s="21" t="str">
        <f>IFERROR(VLOOKUP(F129,'Personel Bilgi'!A:B,2,0),"- - - ")</f>
        <v>ZEYNEL ARIF BOGATU</v>
      </c>
      <c r="H129" s="21" t="str">
        <f>IFERROR(VLOOKUP(F129,'Personel Bilgi'!A:D,3,0),"- - -")</f>
        <v>MUSTAFA OZAYAG</v>
      </c>
      <c r="I129" s="21" t="str">
        <f>IFERROR(VLOOKUP(F129,'Personel Bilgi'!A:D,4,0),"- - -")</f>
        <v>KARS</v>
      </c>
      <c r="J129" s="21" t="str">
        <f>IFERROR(VLOOKUP(F129,'Personel Bilgi'!A:E,5,0),"- - -")</f>
        <v>MÜŞTERİ TEMSİLCİSİ</v>
      </c>
      <c r="K129" s="19" t="s">
        <v>65</v>
      </c>
      <c r="L129" s="19" t="s">
        <v>97</v>
      </c>
      <c r="M129" s="19" t="s">
        <v>734</v>
      </c>
      <c r="N129" s="36">
        <v>46002</v>
      </c>
      <c r="O129" s="36">
        <v>46006</v>
      </c>
      <c r="P129" s="19" t="s">
        <v>81</v>
      </c>
      <c r="Q129" s="37" t="s">
        <v>735</v>
      </c>
      <c r="R129" s="19" t="s">
        <v>86</v>
      </c>
      <c r="S129" s="21" t="s">
        <v>92</v>
      </c>
      <c r="T129" s="21" t="s">
        <v>95</v>
      </c>
      <c r="U129" s="21">
        <v>46</v>
      </c>
      <c r="V129" s="21" t="s">
        <v>736</v>
      </c>
      <c r="W129" s="21">
        <v>111031</v>
      </c>
      <c r="X129" s="19" t="str">
        <f>IFERROR(VLOOKUP(W129,'Personel Bilgi'!A:B,2,0),"---")</f>
        <v>MUHAMMED EREN KAYA</v>
      </c>
      <c r="Y129" s="19" t="str">
        <f>IFERROR(VLOOKUP(W129,'Personel Bilgi'!A:C,3,0),"---")</f>
        <v>YAREN OZAYAG</v>
      </c>
      <c r="Z129" s="22" t="s">
        <v>95</v>
      </c>
      <c r="AA129" s="22" t="s">
        <v>617</v>
      </c>
      <c r="AB129" s="22" t="s">
        <v>65</v>
      </c>
      <c r="AC129" s="22" t="s">
        <v>97</v>
      </c>
      <c r="AD129" s="22" t="s">
        <v>734</v>
      </c>
    </row>
    <row r="130" spans="1:31" x14ac:dyDescent="0.25">
      <c r="A130" s="19" t="s">
        <v>11</v>
      </c>
      <c r="B130" s="21" t="s">
        <v>884</v>
      </c>
      <c r="C130" s="21">
        <v>5324507799</v>
      </c>
      <c r="D130" s="21" t="s">
        <v>15</v>
      </c>
      <c r="E130" s="21" t="str">
        <f>IFERROR(VLOOKUP(D130,Tanımlar!C:D,2,0),"- - -")</f>
        <v>PERAKENDE</v>
      </c>
      <c r="F130" s="46"/>
      <c r="G130" s="46" t="str">
        <f>IFERROR(VLOOKUP(F130,'Personel Bilgi'!A:B,2,0),"- - - ")</f>
        <v xml:space="preserve">- - - </v>
      </c>
      <c r="H130" s="46" t="str">
        <f>IFERROR(VLOOKUP(F130,'Personel Bilgi'!A:D,3,0),"- - -")</f>
        <v>- - -</v>
      </c>
      <c r="I130" s="46" t="str">
        <f>IFERROR(VLOOKUP(F130,'Personel Bilgi'!A:D,4,0),"- - -")</f>
        <v>- - -</v>
      </c>
      <c r="J130" s="46" t="str">
        <f>IFERROR(VLOOKUP(F130,'Personel Bilgi'!A:E,5,0),"- - -")</f>
        <v>- - -</v>
      </c>
      <c r="K130" s="46"/>
      <c r="L130" s="19"/>
      <c r="M130" s="27" t="s">
        <v>864</v>
      </c>
      <c r="N130" s="36">
        <v>46003</v>
      </c>
      <c r="O130" s="36">
        <v>46006</v>
      </c>
      <c r="P130" s="21" t="s">
        <v>81</v>
      </c>
      <c r="Q130" s="37" t="s">
        <v>735</v>
      </c>
      <c r="R130" s="19" t="s">
        <v>86</v>
      </c>
      <c r="S130" s="21" t="s">
        <v>93</v>
      </c>
      <c r="T130" s="21" t="s">
        <v>95</v>
      </c>
      <c r="U130" s="21" t="s">
        <v>735</v>
      </c>
      <c r="V130" s="21" t="s">
        <v>736</v>
      </c>
      <c r="W130" s="21">
        <v>600617</v>
      </c>
      <c r="X130" s="19" t="str">
        <f>IFERROR(VLOOKUP(W130,'Personel Bilgi'!A:B,2,0),"---")</f>
        <v>ELMAS  AKSOY</v>
      </c>
      <c r="Y130" s="19" t="str">
        <f>IFERROR(VLOOKUP(W130,'Personel Bilgi'!A:C,3,0),"---")</f>
        <v xml:space="preserve">İNAN UMUT ÖRNEK </v>
      </c>
      <c r="Z130" s="22" t="s">
        <v>95</v>
      </c>
      <c r="AA130" s="22" t="s">
        <v>617</v>
      </c>
      <c r="AB130" s="22"/>
      <c r="AC130" s="22"/>
      <c r="AD130" s="22" t="s">
        <v>864</v>
      </c>
      <c r="AE130" s="49" t="s">
        <v>962</v>
      </c>
    </row>
    <row r="131" spans="1:31" x14ac:dyDescent="0.25">
      <c r="A131" s="19" t="s">
        <v>11</v>
      </c>
      <c r="B131" s="21" t="s">
        <v>885</v>
      </c>
      <c r="C131" s="21">
        <v>5439321960</v>
      </c>
      <c r="D131" s="21" t="s">
        <v>15</v>
      </c>
      <c r="E131" s="21" t="str">
        <f>IFERROR(VLOOKUP(D131,Tanımlar!C:D,2,0),"- - -")</f>
        <v>PERAKENDE</v>
      </c>
      <c r="F131" s="21">
        <v>111219</v>
      </c>
      <c r="G131" s="21" t="str">
        <f>IFERROR(VLOOKUP(F131,'Personel Bilgi'!A:B,2,0),"- - - ")</f>
        <v>HAMZA ADIGUZELLI</v>
      </c>
      <c r="H131" s="21" t="str">
        <f>IFERROR(VLOOKUP(F131,'Personel Bilgi'!A:D,3,0),"- - -")</f>
        <v>SEDA SEBU</v>
      </c>
      <c r="I131" s="21" t="str">
        <f>IFERROR(VLOOKUP(F131,'Personel Bilgi'!A:D,4,0),"- - -")</f>
        <v>KARS</v>
      </c>
      <c r="J131" s="21" t="str">
        <f>IFERROR(VLOOKUP(F131,'Personel Bilgi'!A:E,5,0),"- - -")</f>
        <v>MÜŞTERİ TEMSİLCİSİ</v>
      </c>
      <c r="K131" s="19" t="s">
        <v>64</v>
      </c>
      <c r="L131" s="19" t="s">
        <v>97</v>
      </c>
      <c r="M131" s="21" t="s">
        <v>44</v>
      </c>
      <c r="N131" s="36">
        <v>46003</v>
      </c>
      <c r="O131" s="36">
        <v>46006</v>
      </c>
      <c r="P131" s="21" t="s">
        <v>81</v>
      </c>
      <c r="Q131" s="37" t="s">
        <v>735</v>
      </c>
      <c r="R131" s="19" t="s">
        <v>86</v>
      </c>
      <c r="S131" s="21" t="s">
        <v>93</v>
      </c>
      <c r="T131" s="21" t="s">
        <v>95</v>
      </c>
      <c r="U131" s="21" t="s">
        <v>735</v>
      </c>
      <c r="V131" s="21" t="s">
        <v>736</v>
      </c>
      <c r="W131" s="21">
        <v>111275</v>
      </c>
      <c r="X131" s="19" t="str">
        <f>IFERROR(VLOOKUP(W131,'Personel Bilgi'!A:B,2,0),"---")</f>
        <v>BERAT YADIGAR</v>
      </c>
      <c r="Y131" s="19" t="str">
        <f>IFERROR(VLOOKUP(W131,'Personel Bilgi'!A:C,3,0),"---")</f>
        <v>SEDA SEBU</v>
      </c>
      <c r="Z131" s="22" t="s">
        <v>95</v>
      </c>
      <c r="AA131" s="22" t="s">
        <v>617</v>
      </c>
      <c r="AB131" s="22" t="s">
        <v>64</v>
      </c>
      <c r="AC131" s="22" t="s">
        <v>97</v>
      </c>
      <c r="AD131" s="22" t="s">
        <v>44</v>
      </c>
    </row>
    <row r="132" spans="1:31" x14ac:dyDescent="0.25">
      <c r="A132" s="19" t="s">
        <v>11</v>
      </c>
      <c r="B132" s="21" t="s">
        <v>886</v>
      </c>
      <c r="C132" s="21">
        <v>5056306444</v>
      </c>
      <c r="D132" s="21" t="s">
        <v>15</v>
      </c>
      <c r="E132" s="21" t="str">
        <f>IFERROR(VLOOKUP(D132,Tanımlar!C:D,2,0),"- - -")</f>
        <v>PERAKENDE</v>
      </c>
      <c r="F132" s="21">
        <v>111044</v>
      </c>
      <c r="G132" s="21" t="str">
        <f>IFERROR(VLOOKUP(F132,'Personel Bilgi'!A:B,2,0),"- - - ")</f>
        <v>MEHMET EKREM YALCIN</v>
      </c>
      <c r="H132" s="21" t="str">
        <f>IFERROR(VLOOKUP(F132,'Personel Bilgi'!A:D,3,0),"- - -")</f>
        <v>DILAN ORNEK</v>
      </c>
      <c r="I132" s="21" t="str">
        <f>IFERROR(VLOOKUP(F132,'Personel Bilgi'!A:D,4,0),"- - -")</f>
        <v>KARS</v>
      </c>
      <c r="J132" s="21" t="str">
        <f>IFERROR(VLOOKUP(F132,'Personel Bilgi'!A:E,5,0),"- - -")</f>
        <v>MÜŞTERİ TEMSİLCİSİ</v>
      </c>
      <c r="K132" s="19" t="s">
        <v>65</v>
      </c>
      <c r="L132" s="19" t="s">
        <v>47</v>
      </c>
      <c r="M132" s="19" t="s">
        <v>603</v>
      </c>
      <c r="N132" s="36">
        <v>46003</v>
      </c>
      <c r="O132" s="36">
        <v>46006</v>
      </c>
      <c r="P132" s="19" t="s">
        <v>80</v>
      </c>
      <c r="Q132" s="37" t="s">
        <v>735</v>
      </c>
      <c r="R132" s="19" t="s">
        <v>86</v>
      </c>
      <c r="S132" s="21" t="s">
        <v>92</v>
      </c>
      <c r="T132" s="21" t="s">
        <v>95</v>
      </c>
      <c r="U132" s="21">
        <v>100</v>
      </c>
      <c r="V132" s="21" t="s">
        <v>736</v>
      </c>
      <c r="W132" s="21">
        <v>111044</v>
      </c>
      <c r="X132" s="19" t="str">
        <f>IFERROR(VLOOKUP(W132,'Personel Bilgi'!A:B,2,0),"---")</f>
        <v>MEHMET EKREM YALCIN</v>
      </c>
      <c r="Y132" s="19" t="str">
        <f>IFERROR(VLOOKUP(W132,'Personel Bilgi'!A:C,3,0),"---")</f>
        <v>DILAN ORNEK</v>
      </c>
      <c r="Z132" s="22" t="s">
        <v>95</v>
      </c>
      <c r="AA132" s="22" t="s">
        <v>617</v>
      </c>
      <c r="AB132" s="22" t="s">
        <v>65</v>
      </c>
      <c r="AC132" s="22" t="s">
        <v>47</v>
      </c>
      <c r="AD132" s="22" t="s">
        <v>603</v>
      </c>
    </row>
    <row r="133" spans="1:31" x14ac:dyDescent="0.25">
      <c r="A133" s="19" t="s">
        <v>11</v>
      </c>
      <c r="B133" s="21" t="s">
        <v>887</v>
      </c>
      <c r="C133" s="21">
        <v>5377863823</v>
      </c>
      <c r="D133" s="21" t="s">
        <v>15</v>
      </c>
      <c r="E133" s="21" t="str">
        <f>IFERROR(VLOOKUP(D133,Tanımlar!C:D,2,0),"- - -")</f>
        <v>PERAKENDE</v>
      </c>
      <c r="F133" s="21">
        <v>210454</v>
      </c>
      <c r="G133" s="21" t="str">
        <f>IFERROR(VLOOKUP(F133,'Personel Bilgi'!A:B,2,0),"- - - ")</f>
        <v>ERGUL GUMUS</v>
      </c>
      <c r="H133" s="21" t="str">
        <f>IFERROR(VLOOKUP(F133,'Personel Bilgi'!A:D,3,0),"- - -")</f>
        <v>KURTHAN FERDI CIHANTIMUR</v>
      </c>
      <c r="I133" s="21" t="str">
        <f>IFERROR(VLOOKUP(F133,'Personel Bilgi'!A:D,4,0),"- - -")</f>
        <v>KARS</v>
      </c>
      <c r="J133" s="21" t="str">
        <f>IFERROR(VLOOKUP(F133,'Personel Bilgi'!A:E,5,0),"- - -")</f>
        <v>MÜŞTERİ TEMSİLCİSİ</v>
      </c>
      <c r="K133" s="19" t="s">
        <v>64</v>
      </c>
      <c r="L133" s="19" t="s">
        <v>97</v>
      </c>
      <c r="M133" s="21" t="s">
        <v>44</v>
      </c>
      <c r="N133" s="36">
        <v>46004</v>
      </c>
      <c r="O133" s="36">
        <v>46006</v>
      </c>
      <c r="P133" s="21" t="s">
        <v>81</v>
      </c>
      <c r="Q133" s="37" t="s">
        <v>735</v>
      </c>
      <c r="R133" s="19" t="s">
        <v>86</v>
      </c>
      <c r="S133" s="21" t="s">
        <v>93</v>
      </c>
      <c r="T133" s="21" t="s">
        <v>95</v>
      </c>
      <c r="U133" s="21" t="s">
        <v>735</v>
      </c>
      <c r="V133" s="21" t="s">
        <v>736</v>
      </c>
      <c r="W133" s="21">
        <v>111258</v>
      </c>
      <c r="X133" s="19" t="str">
        <f>IFERROR(VLOOKUP(W133,'Personel Bilgi'!A:B,2,0),"---")</f>
        <v>BUSRA SIMSEK</v>
      </c>
      <c r="Y133" s="19" t="str">
        <f>IFERROR(VLOOKUP(W133,'Personel Bilgi'!A:C,3,0),"---")</f>
        <v>KURTHAN FERDI CIHANTIMUR</v>
      </c>
      <c r="Z133" s="22" t="s">
        <v>95</v>
      </c>
      <c r="AA133" s="22" t="s">
        <v>617</v>
      </c>
      <c r="AB133" s="22" t="s">
        <v>64</v>
      </c>
      <c r="AC133" s="22" t="s">
        <v>97</v>
      </c>
      <c r="AD133" s="22" t="s">
        <v>44</v>
      </c>
    </row>
    <row r="134" spans="1:31" x14ac:dyDescent="0.25">
      <c r="A134" s="19" t="s">
        <v>11</v>
      </c>
      <c r="B134" s="21" t="s">
        <v>888</v>
      </c>
      <c r="C134" s="21">
        <v>5418845970</v>
      </c>
      <c r="D134" s="21" t="s">
        <v>15</v>
      </c>
      <c r="E134" s="21" t="str">
        <f>IFERROR(VLOOKUP(D134,Tanımlar!C:D,2,0),"- - -")</f>
        <v>PERAKENDE</v>
      </c>
      <c r="F134" s="21">
        <v>111262</v>
      </c>
      <c r="G134" s="21" t="str">
        <f>IFERROR(VLOOKUP(F134,'Personel Bilgi'!A:B,2,0),"- - - ")</f>
        <v>FURKAN KAYA</v>
      </c>
      <c r="H134" s="21" t="str">
        <f>IFERROR(VLOOKUP(F134,'Personel Bilgi'!A:D,3,0),"- - -")</f>
        <v>SEDA SEBU</v>
      </c>
      <c r="I134" s="21" t="str">
        <f>IFERROR(VLOOKUP(F134,'Personel Bilgi'!A:D,4,0),"- - -")</f>
        <v>KARS</v>
      </c>
      <c r="J134" s="21" t="str">
        <f>IFERROR(VLOOKUP(F134,'Personel Bilgi'!A:E,5,0),"- - -")</f>
        <v>MÜŞTERİ TEMSİLCİSİ</v>
      </c>
      <c r="K134" s="21" t="s">
        <v>65</v>
      </c>
      <c r="L134" s="19" t="s">
        <v>97</v>
      </c>
      <c r="M134" s="21" t="s">
        <v>734</v>
      </c>
      <c r="N134" s="36">
        <v>46005</v>
      </c>
      <c r="O134" s="36">
        <v>46007</v>
      </c>
      <c r="P134" s="21" t="s">
        <v>81</v>
      </c>
      <c r="Q134" s="37" t="s">
        <v>735</v>
      </c>
      <c r="R134" s="19" t="s">
        <v>86</v>
      </c>
      <c r="S134" s="21" t="s">
        <v>92</v>
      </c>
      <c r="T134" s="21" t="s">
        <v>94</v>
      </c>
      <c r="U134" s="21">
        <v>0</v>
      </c>
      <c r="V134" s="21" t="s">
        <v>736</v>
      </c>
      <c r="W134" s="21">
        <v>600617</v>
      </c>
      <c r="X134" s="19" t="str">
        <f>IFERROR(VLOOKUP(W134,'Personel Bilgi'!A:B,2,0),"---")</f>
        <v>ELMAS  AKSOY</v>
      </c>
      <c r="Y134" s="19" t="str">
        <f>IFERROR(VLOOKUP(W134,'Personel Bilgi'!A:C,3,0),"---")</f>
        <v xml:space="preserve">İNAN UMUT ÖRNEK </v>
      </c>
      <c r="Z134" s="22" t="s">
        <v>95</v>
      </c>
      <c r="AA134" s="22" t="s">
        <v>617</v>
      </c>
      <c r="AB134" s="22" t="s">
        <v>65</v>
      </c>
      <c r="AC134" s="22" t="s">
        <v>97</v>
      </c>
      <c r="AD134" s="22" t="s">
        <v>734</v>
      </c>
    </row>
    <row r="135" spans="1:31" x14ac:dyDescent="0.25">
      <c r="A135" s="19" t="s">
        <v>11</v>
      </c>
      <c r="B135" s="21" t="s">
        <v>889</v>
      </c>
      <c r="C135" s="21">
        <v>5425106457</v>
      </c>
      <c r="D135" s="21" t="s">
        <v>14</v>
      </c>
      <c r="E135" s="21" t="str">
        <f>IFERROR(VLOOKUP(D135,Tanımlar!C:D,2,0),"- - -")</f>
        <v>DAĞITIM</v>
      </c>
      <c r="F135" s="21">
        <v>111173</v>
      </c>
      <c r="G135" s="21" t="str">
        <f>IFERROR(VLOOKUP(F135,'Personel Bilgi'!A:B,2,0),"- - - ")</f>
        <v>CIGDEM CEVATOGLU</v>
      </c>
      <c r="H135" s="21" t="str">
        <f>IFERROR(VLOOKUP(F135,'Personel Bilgi'!A:D,3,0),"- - -")</f>
        <v>MUSTAFA OZAYAG</v>
      </c>
      <c r="I135" s="21" t="str">
        <f>IFERROR(VLOOKUP(F135,'Personel Bilgi'!A:D,4,0),"- - -")</f>
        <v>KARS</v>
      </c>
      <c r="J135" s="21" t="str">
        <f>IFERROR(VLOOKUP(F135,'Personel Bilgi'!A:E,5,0),"- - -")</f>
        <v>MÜŞTERİ TEMSİLCİSİ</v>
      </c>
      <c r="K135" s="19" t="s">
        <v>64</v>
      </c>
      <c r="L135" s="19" t="s">
        <v>97</v>
      </c>
      <c r="M135" s="21" t="s">
        <v>44</v>
      </c>
      <c r="N135" s="36">
        <v>46006</v>
      </c>
      <c r="O135" s="36">
        <v>46007</v>
      </c>
      <c r="P135" s="21" t="s">
        <v>81</v>
      </c>
      <c r="Q135" s="37" t="s">
        <v>735</v>
      </c>
      <c r="R135" s="19" t="s">
        <v>86</v>
      </c>
      <c r="S135" s="21" t="s">
        <v>93</v>
      </c>
      <c r="T135" s="21" t="s">
        <v>95</v>
      </c>
      <c r="U135" s="21" t="s">
        <v>735</v>
      </c>
      <c r="V135" s="21" t="s">
        <v>736</v>
      </c>
      <c r="W135" s="21">
        <v>500184</v>
      </c>
      <c r="X135" s="19" t="str">
        <f>IFERROR(VLOOKUP(W135,'Personel Bilgi'!A:B,2,0),"---")</f>
        <v>MUHAMMED MERTAN KARABAK</v>
      </c>
      <c r="Y135" s="19" t="str">
        <f>IFERROR(VLOOKUP(W135,'Personel Bilgi'!A:C,3,0),"---")</f>
        <v>TURGUT AKDAG</v>
      </c>
      <c r="Z135" s="22" t="s">
        <v>95</v>
      </c>
      <c r="AA135" s="22" t="s">
        <v>617</v>
      </c>
      <c r="AB135" s="22" t="s">
        <v>64</v>
      </c>
      <c r="AC135" s="22" t="s">
        <v>97</v>
      </c>
      <c r="AD135" s="22" t="s">
        <v>44</v>
      </c>
    </row>
    <row r="136" spans="1:31" x14ac:dyDescent="0.25">
      <c r="A136" s="19" t="s">
        <v>11</v>
      </c>
      <c r="B136" s="20" t="s">
        <v>890</v>
      </c>
      <c r="C136" s="21">
        <v>5379174019</v>
      </c>
      <c r="D136" s="21" t="s">
        <v>14</v>
      </c>
      <c r="E136" s="21" t="str">
        <f>IFERROR(VLOOKUP(D136,Tanımlar!C:D,2,0),"- - -")</f>
        <v>DAĞITIM</v>
      </c>
      <c r="F136" s="21">
        <v>500127</v>
      </c>
      <c r="G136" s="21" t="str">
        <f>IFERROR(VLOOKUP(F136,'Personel Bilgi'!A:B,2,0),"- - - ")</f>
        <v>MUHAMMED ULAS TOREMEN</v>
      </c>
      <c r="H136" s="21" t="str">
        <f>IFERROR(VLOOKUP(F136,'Personel Bilgi'!A:D,3,0),"- - -")</f>
        <v>TURGUT AKDAG</v>
      </c>
      <c r="I136" s="21" t="str">
        <f>IFERROR(VLOOKUP(F136,'Personel Bilgi'!A:D,4,0),"- - -")</f>
        <v>ERZURUM</v>
      </c>
      <c r="J136" s="21" t="str">
        <f>IFERROR(VLOOKUP(F136,'Personel Bilgi'!A:E,5,0),"- - -")</f>
        <v>MÜŞTERİ TEMSİLCİSİ</v>
      </c>
      <c r="K136" s="19" t="s">
        <v>64</v>
      </c>
      <c r="L136" s="19" t="s">
        <v>97</v>
      </c>
      <c r="M136" s="21" t="s">
        <v>44</v>
      </c>
      <c r="N136" s="36">
        <v>46006</v>
      </c>
      <c r="O136" s="36">
        <v>46007</v>
      </c>
      <c r="P136" s="21" t="s">
        <v>81</v>
      </c>
      <c r="Q136" s="37" t="s">
        <v>735</v>
      </c>
      <c r="R136" s="19" t="s">
        <v>86</v>
      </c>
      <c r="S136" s="21" t="s">
        <v>93</v>
      </c>
      <c r="T136" s="21" t="s">
        <v>95</v>
      </c>
      <c r="U136" s="21" t="s">
        <v>735</v>
      </c>
      <c r="V136" s="21" t="s">
        <v>736</v>
      </c>
      <c r="W136" s="21">
        <v>500070</v>
      </c>
      <c r="X136" s="19" t="str">
        <f>IFERROR(VLOOKUP(W136,'Personel Bilgi'!A:B,2,0),"---")</f>
        <v>IREM NAZ OGUZ</v>
      </c>
      <c r="Y136" s="19" t="str">
        <f>IFERROR(VLOOKUP(W136,'Personel Bilgi'!A:C,3,0),"---")</f>
        <v>SALTUK BUGRAHAN TAYMUS</v>
      </c>
      <c r="Z136" s="22" t="s">
        <v>95</v>
      </c>
      <c r="AA136" s="22" t="s">
        <v>617</v>
      </c>
      <c r="AB136" s="22" t="s">
        <v>64</v>
      </c>
      <c r="AC136" s="22" t="s">
        <v>97</v>
      </c>
      <c r="AD136" s="22" t="s">
        <v>44</v>
      </c>
    </row>
    <row r="137" spans="1:31" x14ac:dyDescent="0.25">
      <c r="A137" s="19" t="s">
        <v>11</v>
      </c>
      <c r="B137" s="20" t="s">
        <v>890</v>
      </c>
      <c r="C137" s="21">
        <v>5379174019</v>
      </c>
      <c r="D137" s="21" t="s">
        <v>14</v>
      </c>
      <c r="E137" s="21" t="str">
        <f>IFERROR(VLOOKUP(D137,Tanımlar!C:D,2,0),"- - -")</f>
        <v>DAĞITIM</v>
      </c>
      <c r="F137" s="21">
        <v>111246</v>
      </c>
      <c r="G137" s="21" t="str">
        <f>IFERROR(VLOOKUP(F137,'Personel Bilgi'!A:B,2,0),"- - - ")</f>
        <v>YASIN DIREK</v>
      </c>
      <c r="H137" s="21" t="str">
        <f>IFERROR(VLOOKUP(F137,'Personel Bilgi'!A:D,3,0),"- - -")</f>
        <v>SEVCAN BULUT</v>
      </c>
      <c r="I137" s="21" t="str">
        <f>IFERROR(VLOOKUP(F137,'Personel Bilgi'!A:D,4,0),"- - -")</f>
        <v>KARS</v>
      </c>
      <c r="J137" s="21" t="str">
        <f>IFERROR(VLOOKUP(F137,'Personel Bilgi'!A:E,5,0),"- - -")</f>
        <v>MÜŞTERİ TEMSİLCİSİ</v>
      </c>
      <c r="K137" s="19" t="s">
        <v>64</v>
      </c>
      <c r="L137" s="19" t="s">
        <v>97</v>
      </c>
      <c r="M137" s="21" t="s">
        <v>44</v>
      </c>
      <c r="N137" s="36">
        <v>46006</v>
      </c>
      <c r="O137" s="36">
        <v>46007</v>
      </c>
      <c r="P137" s="21" t="s">
        <v>81</v>
      </c>
      <c r="Q137" s="37" t="s">
        <v>735</v>
      </c>
      <c r="R137" s="19" t="s">
        <v>86</v>
      </c>
      <c r="S137" s="21" t="s">
        <v>93</v>
      </c>
      <c r="T137" s="21" t="s">
        <v>95</v>
      </c>
      <c r="U137" s="21" t="s">
        <v>735</v>
      </c>
      <c r="V137" s="21" t="s">
        <v>736</v>
      </c>
      <c r="W137" s="21">
        <v>500070</v>
      </c>
      <c r="X137" s="19" t="str">
        <f>IFERROR(VLOOKUP(W137,'Personel Bilgi'!A:B,2,0),"---")</f>
        <v>IREM NAZ OGUZ</v>
      </c>
      <c r="Y137" s="19" t="str">
        <f>IFERROR(VLOOKUP(W137,'Personel Bilgi'!A:C,3,0),"---")</f>
        <v>SALTUK BUGRAHAN TAYMUS</v>
      </c>
      <c r="Z137" s="22" t="s">
        <v>95</v>
      </c>
      <c r="AA137" s="22" t="s">
        <v>617</v>
      </c>
      <c r="AB137" s="22" t="s">
        <v>64</v>
      </c>
      <c r="AC137" s="22" t="s">
        <v>97</v>
      </c>
      <c r="AD137" s="22" t="s">
        <v>44</v>
      </c>
    </row>
    <row r="138" spans="1:31" x14ac:dyDescent="0.25">
      <c r="A138" s="19" t="s">
        <v>11</v>
      </c>
      <c r="B138" s="20" t="s">
        <v>890</v>
      </c>
      <c r="C138" s="21">
        <v>5379174019</v>
      </c>
      <c r="D138" s="21" t="s">
        <v>14</v>
      </c>
      <c r="E138" s="21" t="str">
        <f>IFERROR(VLOOKUP(D138,Tanımlar!C:D,2,0),"- - -")</f>
        <v>DAĞITIM</v>
      </c>
      <c r="F138" s="21">
        <v>500180</v>
      </c>
      <c r="G138" s="21" t="str">
        <f>IFERROR(VLOOKUP(F138,'Personel Bilgi'!A:B,2,0),"- - - ")</f>
        <v>IKRANUR KARABULUT</v>
      </c>
      <c r="H138" s="21" t="str">
        <f>IFERROR(VLOOKUP(F138,'Personel Bilgi'!A:D,3,0),"- - -")</f>
        <v>TURGUT AKDAG</v>
      </c>
      <c r="I138" s="21" t="str">
        <f>IFERROR(VLOOKUP(F138,'Personel Bilgi'!A:D,4,0),"- - -")</f>
        <v>ERZURUM</v>
      </c>
      <c r="J138" s="21" t="str">
        <f>IFERROR(VLOOKUP(F138,'Personel Bilgi'!A:E,5,0),"- - -")</f>
        <v>MÜŞTERİ TEMSİLCİSİ</v>
      </c>
      <c r="K138" s="19" t="s">
        <v>64</v>
      </c>
      <c r="L138" s="19" t="s">
        <v>97</v>
      </c>
      <c r="M138" s="21" t="s">
        <v>44</v>
      </c>
      <c r="N138" s="36">
        <v>46006</v>
      </c>
      <c r="O138" s="36">
        <v>46007</v>
      </c>
      <c r="P138" s="21" t="s">
        <v>81</v>
      </c>
      <c r="Q138" s="37" t="s">
        <v>735</v>
      </c>
      <c r="R138" s="19" t="s">
        <v>86</v>
      </c>
      <c r="S138" s="21" t="s">
        <v>93</v>
      </c>
      <c r="T138" s="21" t="s">
        <v>95</v>
      </c>
      <c r="U138" s="21" t="s">
        <v>735</v>
      </c>
      <c r="V138" s="21" t="s">
        <v>736</v>
      </c>
      <c r="W138" s="21">
        <v>500070</v>
      </c>
      <c r="X138" s="19" t="str">
        <f>IFERROR(VLOOKUP(W138,'Personel Bilgi'!A:B,2,0),"---")</f>
        <v>IREM NAZ OGUZ</v>
      </c>
      <c r="Y138" s="19" t="str">
        <f>IFERROR(VLOOKUP(W138,'Personel Bilgi'!A:C,3,0),"---")</f>
        <v>SALTUK BUGRAHAN TAYMUS</v>
      </c>
      <c r="Z138" s="22" t="s">
        <v>95</v>
      </c>
      <c r="AA138" s="22" t="s">
        <v>617</v>
      </c>
      <c r="AB138" s="22" t="s">
        <v>64</v>
      </c>
      <c r="AC138" s="22" t="s">
        <v>97</v>
      </c>
      <c r="AD138" s="22" t="s">
        <v>44</v>
      </c>
    </row>
    <row r="139" spans="1:31" x14ac:dyDescent="0.25">
      <c r="A139" s="19" t="s">
        <v>11</v>
      </c>
      <c r="B139" s="24" t="s">
        <v>843</v>
      </c>
      <c r="C139" s="21">
        <v>5466766546</v>
      </c>
      <c r="D139" s="21" t="s">
        <v>12</v>
      </c>
      <c r="E139" s="21" t="str">
        <f>IFERROR(VLOOKUP(D139,Tanımlar!C:D,2,0),"- - -")</f>
        <v>DAĞITIM</v>
      </c>
      <c r="F139" s="21">
        <v>500031</v>
      </c>
      <c r="G139" s="21" t="str">
        <f>IFERROR(VLOOKUP(F139,'Personel Bilgi'!A:B,2,0),"- - - ")</f>
        <v>OZGEN ERTEK</v>
      </c>
      <c r="H139" s="21" t="str">
        <f>IFERROR(VLOOKUP(F139,'Personel Bilgi'!A:D,3,0),"- - -")</f>
        <v>ERDOGAN DURUK</v>
      </c>
      <c r="I139" s="21" t="str">
        <f>IFERROR(VLOOKUP(F139,'Personel Bilgi'!A:D,4,0),"- - -")</f>
        <v>ERZURUM</v>
      </c>
      <c r="J139" s="21" t="str">
        <f>IFERROR(VLOOKUP(F139,'Personel Bilgi'!A:E,5,0),"- - -")</f>
        <v>MÜŞTERİ TEMSİLCİSİ</v>
      </c>
      <c r="K139" s="19" t="s">
        <v>49</v>
      </c>
      <c r="L139" s="19" t="s">
        <v>97</v>
      </c>
      <c r="M139" s="19" t="s">
        <v>734</v>
      </c>
      <c r="N139" s="36">
        <v>45997</v>
      </c>
      <c r="O139" s="36">
        <v>46007</v>
      </c>
      <c r="P139" s="21" t="s">
        <v>81</v>
      </c>
      <c r="Q139" s="37" t="s">
        <v>735</v>
      </c>
      <c r="R139" s="19" t="s">
        <v>86</v>
      </c>
      <c r="S139" s="21" t="s">
        <v>92</v>
      </c>
      <c r="T139" s="21" t="s">
        <v>95</v>
      </c>
      <c r="U139" s="21">
        <v>84</v>
      </c>
      <c r="V139" s="21" t="s">
        <v>736</v>
      </c>
      <c r="W139" s="21">
        <v>500024</v>
      </c>
      <c r="X139" s="19" t="str">
        <f>IFERROR(VLOOKUP(W139,'Personel Bilgi'!A:B,2,0),"---")</f>
        <v>MERVE URUK</v>
      </c>
      <c r="Y139" s="19" t="str">
        <f>IFERROR(VLOOKUP(W139,'Personel Bilgi'!A:C,3,0),"---")</f>
        <v>ERDOGAN DURUK</v>
      </c>
      <c r="Z139" s="22" t="s">
        <v>95</v>
      </c>
      <c r="AA139" s="22" t="s">
        <v>617</v>
      </c>
      <c r="AB139" s="22" t="s">
        <v>49</v>
      </c>
      <c r="AC139" s="22" t="s">
        <v>97</v>
      </c>
      <c r="AD139" s="22" t="s">
        <v>734</v>
      </c>
    </row>
    <row r="140" spans="1:31" x14ac:dyDescent="0.25">
      <c r="A140" s="19" t="s">
        <v>11</v>
      </c>
      <c r="B140" s="24" t="s">
        <v>843</v>
      </c>
      <c r="C140" s="21">
        <v>5466766546</v>
      </c>
      <c r="D140" s="21" t="s">
        <v>12</v>
      </c>
      <c r="E140" s="21" t="str">
        <f>IFERROR(VLOOKUP(D140,Tanımlar!C:D,2,0),"- - -")</f>
        <v>DAĞITIM</v>
      </c>
      <c r="F140" s="21">
        <v>500195</v>
      </c>
      <c r="G140" s="21" t="str">
        <f>IFERROR(VLOOKUP(F140,'Personel Bilgi'!A:B,2,0),"- - - ")</f>
        <v>YAREN MARAL TEYMUR</v>
      </c>
      <c r="H140" s="21" t="str">
        <f>IFERROR(VLOOKUP(F140,'Personel Bilgi'!A:D,3,0),"- - -")</f>
        <v>SAMET KOCABEYOGLU</v>
      </c>
      <c r="I140" s="21" t="str">
        <f>IFERROR(VLOOKUP(F140,'Personel Bilgi'!A:D,4,0),"- - -")</f>
        <v>ERZURUM</v>
      </c>
      <c r="J140" s="21" t="str">
        <f>IFERROR(VLOOKUP(F140,'Personel Bilgi'!A:E,5,0),"- - -")</f>
        <v>MÜŞTERİ TEMSİLCİSİ</v>
      </c>
      <c r="K140" s="21" t="s">
        <v>49</v>
      </c>
      <c r="L140" s="19" t="s">
        <v>97</v>
      </c>
      <c r="M140" s="19" t="s">
        <v>734</v>
      </c>
      <c r="N140" s="36">
        <v>45997</v>
      </c>
      <c r="O140" s="36">
        <v>46007</v>
      </c>
      <c r="P140" s="21" t="s">
        <v>81</v>
      </c>
      <c r="Q140" s="37" t="s">
        <v>735</v>
      </c>
      <c r="R140" s="19" t="s">
        <v>86</v>
      </c>
      <c r="S140" s="21" t="s">
        <v>92</v>
      </c>
      <c r="T140" s="21" t="s">
        <v>94</v>
      </c>
      <c r="U140" s="21">
        <v>0</v>
      </c>
      <c r="V140" s="21" t="s">
        <v>736</v>
      </c>
      <c r="W140" s="21">
        <v>500024</v>
      </c>
      <c r="X140" s="19" t="str">
        <f>IFERROR(VLOOKUP(W140,'Personel Bilgi'!A:B,2,0),"---")</f>
        <v>MERVE URUK</v>
      </c>
      <c r="Y140" s="19" t="str">
        <f>IFERROR(VLOOKUP(W140,'Personel Bilgi'!A:C,3,0),"---")</f>
        <v>ERDOGAN DURUK</v>
      </c>
      <c r="Z140" s="22" t="s">
        <v>95</v>
      </c>
      <c r="AA140" s="22" t="s">
        <v>617</v>
      </c>
      <c r="AB140" s="22" t="s">
        <v>49</v>
      </c>
      <c r="AC140" s="22" t="s">
        <v>97</v>
      </c>
      <c r="AD140" s="22" t="s">
        <v>734</v>
      </c>
    </row>
    <row r="141" spans="1:31" x14ac:dyDescent="0.25">
      <c r="A141" s="19" t="s">
        <v>11</v>
      </c>
      <c r="B141" s="24" t="s">
        <v>843</v>
      </c>
      <c r="C141" s="21">
        <v>5466766546</v>
      </c>
      <c r="D141" s="21" t="s">
        <v>12</v>
      </c>
      <c r="E141" s="21" t="str">
        <f>IFERROR(VLOOKUP(D141,Tanımlar!C:D,2,0),"- - -")</f>
        <v>DAĞITIM</v>
      </c>
      <c r="F141" s="21">
        <v>111210</v>
      </c>
      <c r="G141" s="21" t="str">
        <f>IFERROR(VLOOKUP(F141,'Personel Bilgi'!A:B,2,0),"- - - ")</f>
        <v>SIMGE KANBAY</v>
      </c>
      <c r="H141" s="21" t="str">
        <f>IFERROR(VLOOKUP(F141,'Personel Bilgi'!A:D,3,0),"- - -")</f>
        <v>SAFAK TOPTAS</v>
      </c>
      <c r="I141" s="21" t="str">
        <f>IFERROR(VLOOKUP(F141,'Personel Bilgi'!A:D,4,0),"- - -")</f>
        <v>KARS</v>
      </c>
      <c r="J141" s="21" t="str">
        <f>IFERROR(VLOOKUP(F141,'Personel Bilgi'!A:E,5,0),"- - -")</f>
        <v>MÜŞTERİ TEMSİLCİSİ</v>
      </c>
      <c r="K141" s="21" t="s">
        <v>49</v>
      </c>
      <c r="L141" s="19" t="s">
        <v>97</v>
      </c>
      <c r="M141" s="19" t="s">
        <v>734</v>
      </c>
      <c r="N141" s="36">
        <v>45998</v>
      </c>
      <c r="O141" s="36">
        <v>46007</v>
      </c>
      <c r="P141" s="21" t="s">
        <v>81</v>
      </c>
      <c r="Q141" s="37" t="s">
        <v>735</v>
      </c>
      <c r="R141" s="19" t="s">
        <v>86</v>
      </c>
      <c r="S141" s="21" t="s">
        <v>92</v>
      </c>
      <c r="T141" s="21" t="s">
        <v>95</v>
      </c>
      <c r="U141" s="21">
        <v>88</v>
      </c>
      <c r="V141" s="21" t="s">
        <v>736</v>
      </c>
      <c r="W141" s="21">
        <v>500024</v>
      </c>
      <c r="X141" s="19" t="str">
        <f>IFERROR(VLOOKUP(W141,'Personel Bilgi'!A:B,2,0),"---")</f>
        <v>MERVE URUK</v>
      </c>
      <c r="Y141" s="19" t="str">
        <f>IFERROR(VLOOKUP(W141,'Personel Bilgi'!A:C,3,0),"---")</f>
        <v>ERDOGAN DURUK</v>
      </c>
      <c r="Z141" s="22" t="s">
        <v>95</v>
      </c>
      <c r="AA141" s="22" t="s">
        <v>617</v>
      </c>
      <c r="AB141" s="22" t="s">
        <v>49</v>
      </c>
      <c r="AC141" s="22" t="s">
        <v>97</v>
      </c>
      <c r="AD141" s="22" t="s">
        <v>734</v>
      </c>
    </row>
    <row r="142" spans="1:31" x14ac:dyDescent="0.25">
      <c r="A142" s="19" t="s">
        <v>11</v>
      </c>
      <c r="B142" s="21" t="s">
        <v>891</v>
      </c>
      <c r="C142" s="21">
        <v>5312094846</v>
      </c>
      <c r="D142" s="21" t="s">
        <v>15</v>
      </c>
      <c r="E142" s="21" t="str">
        <f>IFERROR(VLOOKUP(D142,Tanımlar!C:D,2,0),"- - -")</f>
        <v>PERAKENDE</v>
      </c>
      <c r="F142" s="21">
        <v>600642</v>
      </c>
      <c r="G142" s="21" t="str">
        <f>IFERROR(VLOOKUP(F142,'Personel Bilgi'!A:B,2,0),"- - - ")</f>
        <v>BUSENUR TAPAN</v>
      </c>
      <c r="H142" s="21" t="str">
        <f>IFERROR(VLOOKUP(F142,'Personel Bilgi'!A:D,3,0),"- - -")</f>
        <v>FERHAT DEMIR</v>
      </c>
      <c r="I142" s="21" t="str">
        <f>IFERROR(VLOOKUP(F142,'Personel Bilgi'!A:D,4,0),"- - -")</f>
        <v>ANKARA</v>
      </c>
      <c r="J142" s="21" t="str">
        <f>IFERROR(VLOOKUP(F142,'Personel Bilgi'!A:E,5,0),"- - -")</f>
        <v>TAKIM LİDERİ</v>
      </c>
      <c r="K142" s="19" t="s">
        <v>66</v>
      </c>
      <c r="L142" s="19" t="s">
        <v>97</v>
      </c>
      <c r="M142" s="21" t="s">
        <v>44</v>
      </c>
      <c r="N142" s="36">
        <v>46003</v>
      </c>
      <c r="O142" s="36">
        <v>46007</v>
      </c>
      <c r="P142" s="21" t="s">
        <v>81</v>
      </c>
      <c r="Q142" s="37" t="s">
        <v>735</v>
      </c>
      <c r="R142" s="19" t="s">
        <v>86</v>
      </c>
      <c r="S142" s="21" t="s">
        <v>93</v>
      </c>
      <c r="T142" s="21" t="s">
        <v>95</v>
      </c>
      <c r="U142" s="21" t="s">
        <v>735</v>
      </c>
      <c r="V142" s="21" t="s">
        <v>736</v>
      </c>
      <c r="W142" s="21">
        <v>111266</v>
      </c>
      <c r="X142" s="19" t="str">
        <f>IFERROR(VLOOKUP(W142,'Personel Bilgi'!A:B,2,0),"---")</f>
        <v>YUSUF ALI TEPE</v>
      </c>
      <c r="Y142" s="19" t="str">
        <f>IFERROR(VLOOKUP(W142,'Personel Bilgi'!A:C,3,0),"---")</f>
        <v>ERCUMENT GUNESSU</v>
      </c>
      <c r="Z142" s="22" t="s">
        <v>95</v>
      </c>
      <c r="AA142" s="22" t="s">
        <v>617</v>
      </c>
      <c r="AB142" s="22" t="s">
        <v>66</v>
      </c>
      <c r="AC142" s="22" t="s">
        <v>97</v>
      </c>
      <c r="AD142" s="22" t="s">
        <v>44</v>
      </c>
    </row>
    <row r="143" spans="1:31" x14ac:dyDescent="0.25">
      <c r="A143" s="19" t="s">
        <v>11</v>
      </c>
      <c r="B143" s="22" t="s">
        <v>892</v>
      </c>
      <c r="C143" s="27">
        <v>5335593203</v>
      </c>
      <c r="D143" s="27" t="s">
        <v>14</v>
      </c>
      <c r="E143" s="27" t="s">
        <v>103</v>
      </c>
      <c r="F143" s="27">
        <v>500109</v>
      </c>
      <c r="G143" s="27" t="s">
        <v>409</v>
      </c>
      <c r="H143" s="27" t="s">
        <v>391</v>
      </c>
      <c r="I143" s="27" t="s">
        <v>19</v>
      </c>
      <c r="J143" s="27" t="s">
        <v>695</v>
      </c>
      <c r="K143" s="27" t="s">
        <v>70</v>
      </c>
      <c r="L143" s="27" t="s">
        <v>97</v>
      </c>
      <c r="M143" s="27" t="s">
        <v>734</v>
      </c>
      <c r="N143" s="36">
        <v>45994</v>
      </c>
      <c r="O143" s="36">
        <v>45996</v>
      </c>
      <c r="P143" s="27" t="s">
        <v>81</v>
      </c>
      <c r="Q143" s="37" t="s">
        <v>735</v>
      </c>
      <c r="R143" s="27" t="s">
        <v>790</v>
      </c>
      <c r="S143" s="27" t="s">
        <v>92</v>
      </c>
      <c r="T143" s="27" t="s">
        <v>94</v>
      </c>
      <c r="U143" s="21">
        <v>0</v>
      </c>
      <c r="V143" s="27" t="s">
        <v>736</v>
      </c>
      <c r="W143" s="27">
        <v>500109</v>
      </c>
      <c r="X143" s="27" t="s">
        <v>409</v>
      </c>
      <c r="Y143" s="27" t="s">
        <v>391</v>
      </c>
      <c r="Z143" s="22" t="s">
        <v>94</v>
      </c>
      <c r="AA143" s="22" t="s">
        <v>616</v>
      </c>
      <c r="AB143" s="22" t="s">
        <v>70</v>
      </c>
      <c r="AC143" s="22" t="s">
        <v>97</v>
      </c>
      <c r="AD143" s="22" t="s">
        <v>734</v>
      </c>
    </row>
    <row r="144" spans="1:31" x14ac:dyDescent="0.25">
      <c r="A144" s="19" t="s">
        <v>11</v>
      </c>
      <c r="B144" s="22" t="s">
        <v>893</v>
      </c>
      <c r="C144" s="27">
        <v>5417157848</v>
      </c>
      <c r="D144" s="27" t="s">
        <v>12</v>
      </c>
      <c r="E144" s="27" t="s">
        <v>103</v>
      </c>
      <c r="F144" s="27">
        <v>500050</v>
      </c>
      <c r="G144" s="27" t="s">
        <v>379</v>
      </c>
      <c r="H144" s="27" t="s">
        <v>645</v>
      </c>
      <c r="I144" s="27" t="s">
        <v>19</v>
      </c>
      <c r="J144" s="27" t="s">
        <v>695</v>
      </c>
      <c r="K144" s="27" t="s">
        <v>49</v>
      </c>
      <c r="L144" s="27" t="s">
        <v>97</v>
      </c>
      <c r="M144" s="27" t="s">
        <v>734</v>
      </c>
      <c r="N144" s="36">
        <v>45994</v>
      </c>
      <c r="O144" s="36">
        <v>45996</v>
      </c>
      <c r="P144" s="21" t="s">
        <v>1145</v>
      </c>
      <c r="Q144" s="37" t="s">
        <v>735</v>
      </c>
      <c r="R144" s="27" t="s">
        <v>790</v>
      </c>
      <c r="S144" s="27" t="s">
        <v>92</v>
      </c>
      <c r="T144" s="27" t="s">
        <v>95</v>
      </c>
      <c r="U144" s="21">
        <v>65</v>
      </c>
      <c r="V144" s="27" t="s">
        <v>736</v>
      </c>
      <c r="W144" s="21">
        <v>500070</v>
      </c>
      <c r="X144" s="27" t="s">
        <v>422</v>
      </c>
      <c r="Y144" s="27" t="s">
        <v>392</v>
      </c>
      <c r="Z144" s="22" t="s">
        <v>95</v>
      </c>
      <c r="AA144" s="22" t="s">
        <v>617</v>
      </c>
      <c r="AB144" s="22" t="s">
        <v>49</v>
      </c>
      <c r="AC144" s="22" t="s">
        <v>97</v>
      </c>
      <c r="AD144" s="22" t="s">
        <v>734</v>
      </c>
    </row>
    <row r="145" spans="1:30" x14ac:dyDescent="0.25">
      <c r="A145" s="19" t="s">
        <v>11</v>
      </c>
      <c r="B145" s="22" t="s">
        <v>894</v>
      </c>
      <c r="C145" s="27">
        <v>5070565331</v>
      </c>
      <c r="D145" s="27" t="s">
        <v>12</v>
      </c>
      <c r="E145" s="27" t="s">
        <v>103</v>
      </c>
      <c r="F145" s="27">
        <v>110922</v>
      </c>
      <c r="G145" s="27" t="s">
        <v>934</v>
      </c>
      <c r="H145" s="27" t="s">
        <v>124</v>
      </c>
      <c r="I145" s="27" t="s">
        <v>18</v>
      </c>
      <c r="J145" s="27" t="s">
        <v>695</v>
      </c>
      <c r="K145" s="27" t="s">
        <v>54</v>
      </c>
      <c r="L145" s="27" t="s">
        <v>97</v>
      </c>
      <c r="M145" s="27" t="s">
        <v>734</v>
      </c>
      <c r="N145" s="36">
        <v>45994</v>
      </c>
      <c r="O145" s="36">
        <v>45996</v>
      </c>
      <c r="P145" s="27" t="s">
        <v>81</v>
      </c>
      <c r="Q145" s="37" t="s">
        <v>735</v>
      </c>
      <c r="R145" s="27" t="s">
        <v>790</v>
      </c>
      <c r="S145" s="27" t="s">
        <v>92</v>
      </c>
      <c r="T145" s="27" t="s">
        <v>95</v>
      </c>
      <c r="U145" s="21">
        <v>100</v>
      </c>
      <c r="V145" s="27" t="s">
        <v>736</v>
      </c>
      <c r="W145" s="21">
        <v>500080</v>
      </c>
      <c r="X145" s="27" t="s">
        <v>429</v>
      </c>
      <c r="Y145" s="27" t="s">
        <v>392</v>
      </c>
      <c r="Z145" s="22" t="s">
        <v>94</v>
      </c>
      <c r="AA145" s="22" t="s">
        <v>616</v>
      </c>
      <c r="AB145" s="22" t="s">
        <v>54</v>
      </c>
      <c r="AC145" s="22" t="s">
        <v>97</v>
      </c>
      <c r="AD145" s="22" t="s">
        <v>734</v>
      </c>
    </row>
    <row r="146" spans="1:30" x14ac:dyDescent="0.25">
      <c r="A146" s="19" t="s">
        <v>11</v>
      </c>
      <c r="B146" s="22" t="s">
        <v>894</v>
      </c>
      <c r="C146" s="27">
        <v>5070565331</v>
      </c>
      <c r="D146" s="27" t="s">
        <v>12</v>
      </c>
      <c r="E146" s="27" t="s">
        <v>103</v>
      </c>
      <c r="F146" s="27">
        <v>500169</v>
      </c>
      <c r="G146" s="27" t="s">
        <v>648</v>
      </c>
      <c r="H146" s="27" t="s">
        <v>645</v>
      </c>
      <c r="I146" s="27" t="s">
        <v>19</v>
      </c>
      <c r="J146" s="27" t="s">
        <v>695</v>
      </c>
      <c r="K146" s="27" t="s">
        <v>54</v>
      </c>
      <c r="L146" s="27" t="s">
        <v>97</v>
      </c>
      <c r="M146" s="27" t="s">
        <v>21</v>
      </c>
      <c r="N146" s="36">
        <v>45994</v>
      </c>
      <c r="O146" s="36">
        <v>45996</v>
      </c>
      <c r="P146" s="21" t="s">
        <v>1145</v>
      </c>
      <c r="Q146" s="37" t="s">
        <v>735</v>
      </c>
      <c r="R146" s="27" t="s">
        <v>790</v>
      </c>
      <c r="S146" s="27" t="s">
        <v>92</v>
      </c>
      <c r="T146" s="27" t="s">
        <v>94</v>
      </c>
      <c r="U146" s="21">
        <v>0</v>
      </c>
      <c r="V146" s="27" t="s">
        <v>736</v>
      </c>
      <c r="W146" s="21">
        <v>500080</v>
      </c>
      <c r="X146" s="27" t="s">
        <v>429</v>
      </c>
      <c r="Y146" s="27" t="s">
        <v>392</v>
      </c>
      <c r="Z146" s="22" t="s">
        <v>94</v>
      </c>
      <c r="AA146" s="22" t="s">
        <v>616</v>
      </c>
      <c r="AB146" s="22" t="s">
        <v>54</v>
      </c>
      <c r="AC146" s="22" t="s">
        <v>97</v>
      </c>
      <c r="AD146" s="22" t="s">
        <v>21</v>
      </c>
    </row>
    <row r="147" spans="1:30" x14ac:dyDescent="0.25">
      <c r="A147" s="19" t="s">
        <v>11</v>
      </c>
      <c r="B147" s="22" t="s">
        <v>895</v>
      </c>
      <c r="C147" s="27">
        <v>5394838377</v>
      </c>
      <c r="D147" s="27" t="s">
        <v>14</v>
      </c>
      <c r="E147" s="27" t="s">
        <v>103</v>
      </c>
      <c r="F147" s="27">
        <v>500193</v>
      </c>
      <c r="G147" s="27" t="s">
        <v>672</v>
      </c>
      <c r="H147" s="27" t="s">
        <v>389</v>
      </c>
      <c r="I147" s="27" t="s">
        <v>19</v>
      </c>
      <c r="J147" s="27" t="s">
        <v>695</v>
      </c>
      <c r="K147" s="27" t="s">
        <v>54</v>
      </c>
      <c r="L147" s="27" t="s">
        <v>96</v>
      </c>
      <c r="M147" s="27" t="s">
        <v>36</v>
      </c>
      <c r="N147" s="36">
        <v>45993</v>
      </c>
      <c r="O147" s="36">
        <v>45995</v>
      </c>
      <c r="P147" s="19" t="s">
        <v>79</v>
      </c>
      <c r="Q147" s="37" t="s">
        <v>735</v>
      </c>
      <c r="R147" s="27" t="s">
        <v>790</v>
      </c>
      <c r="S147" s="27" t="s">
        <v>92</v>
      </c>
      <c r="T147" s="27" t="s">
        <v>94</v>
      </c>
      <c r="U147" s="21">
        <v>0</v>
      </c>
      <c r="V147" s="27" t="s">
        <v>736</v>
      </c>
      <c r="W147" s="21">
        <v>500127</v>
      </c>
      <c r="X147" s="27" t="s">
        <v>345</v>
      </c>
      <c r="Y147" s="27" t="s">
        <v>323</v>
      </c>
      <c r="Z147" s="22" t="s">
        <v>94</v>
      </c>
      <c r="AA147" s="22" t="s">
        <v>616</v>
      </c>
      <c r="AB147" s="22" t="s">
        <v>54</v>
      </c>
      <c r="AC147" s="22" t="s">
        <v>96</v>
      </c>
      <c r="AD147" s="22" t="s">
        <v>36</v>
      </c>
    </row>
    <row r="148" spans="1:30" x14ac:dyDescent="0.25">
      <c r="A148" s="19" t="s">
        <v>11</v>
      </c>
      <c r="B148" s="22" t="s">
        <v>896</v>
      </c>
      <c r="C148" s="27">
        <v>5307752867</v>
      </c>
      <c r="D148" s="27" t="s">
        <v>14</v>
      </c>
      <c r="E148" s="27" t="s">
        <v>103</v>
      </c>
      <c r="F148" s="27">
        <v>111241</v>
      </c>
      <c r="G148" s="27" t="s">
        <v>287</v>
      </c>
      <c r="H148" s="27" t="s">
        <v>285</v>
      </c>
      <c r="I148" s="27" t="s">
        <v>18</v>
      </c>
      <c r="J148" s="27" t="s">
        <v>695</v>
      </c>
      <c r="K148" s="27" t="s">
        <v>49</v>
      </c>
      <c r="L148" s="27" t="s">
        <v>96</v>
      </c>
      <c r="M148" s="27" t="s">
        <v>40</v>
      </c>
      <c r="N148" s="36">
        <v>45993</v>
      </c>
      <c r="O148" s="36">
        <v>45995</v>
      </c>
      <c r="P148" s="27" t="s">
        <v>81</v>
      </c>
      <c r="Q148" s="37" t="s">
        <v>735</v>
      </c>
      <c r="R148" s="27" t="s">
        <v>790</v>
      </c>
      <c r="S148" s="27" t="s">
        <v>92</v>
      </c>
      <c r="T148" s="27" t="s">
        <v>95</v>
      </c>
      <c r="U148" s="21">
        <v>100</v>
      </c>
      <c r="V148" s="27" t="s">
        <v>736</v>
      </c>
      <c r="W148" s="21">
        <v>210463</v>
      </c>
      <c r="X148" s="27" t="s">
        <v>144</v>
      </c>
      <c r="Y148" s="27" t="s">
        <v>142</v>
      </c>
      <c r="Z148" s="22" t="s">
        <v>95</v>
      </c>
      <c r="AA148" s="22" t="s">
        <v>617</v>
      </c>
      <c r="AB148" s="22" t="s">
        <v>49</v>
      </c>
      <c r="AC148" s="22" t="s">
        <v>96</v>
      </c>
      <c r="AD148" s="22" t="s">
        <v>40</v>
      </c>
    </row>
    <row r="149" spans="1:30" x14ac:dyDescent="0.25">
      <c r="A149" s="19" t="s">
        <v>11</v>
      </c>
      <c r="B149" s="22" t="s">
        <v>896</v>
      </c>
      <c r="C149" s="27">
        <v>5307752867</v>
      </c>
      <c r="D149" s="27" t="s">
        <v>14</v>
      </c>
      <c r="E149" s="27" t="s">
        <v>103</v>
      </c>
      <c r="F149" s="27">
        <v>500015</v>
      </c>
      <c r="G149" s="27" t="s">
        <v>328</v>
      </c>
      <c r="H149" s="27" t="s">
        <v>609</v>
      </c>
      <c r="I149" s="27" t="s">
        <v>19</v>
      </c>
      <c r="J149" s="27" t="s">
        <v>695</v>
      </c>
      <c r="K149" s="27" t="s">
        <v>49</v>
      </c>
      <c r="L149" s="27" t="s">
        <v>96</v>
      </c>
      <c r="M149" s="27" t="s">
        <v>40</v>
      </c>
      <c r="N149" s="36">
        <v>45993</v>
      </c>
      <c r="O149" s="36">
        <v>45995</v>
      </c>
      <c r="P149" s="27" t="s">
        <v>81</v>
      </c>
      <c r="Q149" s="37" t="s">
        <v>735</v>
      </c>
      <c r="R149" s="27" t="s">
        <v>790</v>
      </c>
      <c r="S149" s="27" t="s">
        <v>92</v>
      </c>
      <c r="T149" s="27" t="s">
        <v>95</v>
      </c>
      <c r="U149" s="21">
        <v>78</v>
      </c>
      <c r="V149" s="27" t="s">
        <v>736</v>
      </c>
      <c r="W149" s="21">
        <v>210463</v>
      </c>
      <c r="X149" s="27" t="s">
        <v>144</v>
      </c>
      <c r="Y149" s="27" t="s">
        <v>142</v>
      </c>
      <c r="Z149" s="22" t="s">
        <v>95</v>
      </c>
      <c r="AA149" s="22" t="s">
        <v>617</v>
      </c>
      <c r="AB149" s="22" t="s">
        <v>49</v>
      </c>
      <c r="AC149" s="22" t="s">
        <v>96</v>
      </c>
      <c r="AD149" s="22" t="s">
        <v>40</v>
      </c>
    </row>
    <row r="150" spans="1:30" x14ac:dyDescent="0.25">
      <c r="A150" s="19" t="s">
        <v>11</v>
      </c>
      <c r="B150" s="22" t="s">
        <v>897</v>
      </c>
      <c r="C150" s="27">
        <v>5323540384</v>
      </c>
      <c r="D150" s="27" t="s">
        <v>12</v>
      </c>
      <c r="E150" s="27" t="s">
        <v>103</v>
      </c>
      <c r="F150" s="27">
        <v>500129</v>
      </c>
      <c r="G150" s="27" t="s">
        <v>346</v>
      </c>
      <c r="H150" s="27" t="s">
        <v>323</v>
      </c>
      <c r="I150" s="27" t="s">
        <v>19</v>
      </c>
      <c r="J150" s="27" t="s">
        <v>695</v>
      </c>
      <c r="K150" s="27" t="s">
        <v>49</v>
      </c>
      <c r="L150" s="27" t="s">
        <v>47</v>
      </c>
      <c r="M150" s="27" t="s">
        <v>603</v>
      </c>
      <c r="N150" s="36">
        <v>45996</v>
      </c>
      <c r="O150" s="36">
        <v>46000</v>
      </c>
      <c r="P150" s="27" t="s">
        <v>80</v>
      </c>
      <c r="Q150" s="37" t="s">
        <v>735</v>
      </c>
      <c r="R150" s="27" t="s">
        <v>790</v>
      </c>
      <c r="S150" s="27" t="s">
        <v>92</v>
      </c>
      <c r="T150" s="27" t="s">
        <v>94</v>
      </c>
      <c r="U150" s="21">
        <v>0</v>
      </c>
      <c r="V150" s="27" t="s">
        <v>736</v>
      </c>
      <c r="W150" s="21">
        <v>500109</v>
      </c>
      <c r="X150" s="27" t="s">
        <v>409</v>
      </c>
      <c r="Y150" s="27" t="s">
        <v>391</v>
      </c>
      <c r="Z150" s="22" t="s">
        <v>95</v>
      </c>
      <c r="AA150" s="22" t="s">
        <v>617</v>
      </c>
      <c r="AB150" s="22" t="s">
        <v>49</v>
      </c>
      <c r="AC150" s="22" t="s">
        <v>47</v>
      </c>
      <c r="AD150" s="22" t="s">
        <v>603</v>
      </c>
    </row>
    <row r="151" spans="1:30" x14ac:dyDescent="0.25">
      <c r="A151" s="19" t="s">
        <v>11</v>
      </c>
      <c r="B151" s="22" t="s">
        <v>860</v>
      </c>
      <c r="C151" s="27">
        <v>5395907773</v>
      </c>
      <c r="D151" s="27" t="s">
        <v>14</v>
      </c>
      <c r="E151" s="27" t="s">
        <v>103</v>
      </c>
      <c r="F151" s="27">
        <v>500131</v>
      </c>
      <c r="G151" s="27" t="s">
        <v>347</v>
      </c>
      <c r="H151" s="27" t="s">
        <v>323</v>
      </c>
      <c r="I151" s="27" t="s">
        <v>19</v>
      </c>
      <c r="J151" s="27" t="s">
        <v>695</v>
      </c>
      <c r="K151" s="27" t="s">
        <v>49</v>
      </c>
      <c r="L151" s="27" t="s">
        <v>96</v>
      </c>
      <c r="M151" s="27" t="s">
        <v>40</v>
      </c>
      <c r="N151" s="36">
        <v>46000</v>
      </c>
      <c r="O151" s="36">
        <v>46000</v>
      </c>
      <c r="P151" s="27" t="s">
        <v>81</v>
      </c>
      <c r="Q151" s="37" t="s">
        <v>735</v>
      </c>
      <c r="R151" s="27" t="s">
        <v>790</v>
      </c>
      <c r="S151" s="27" t="s">
        <v>92</v>
      </c>
      <c r="T151" s="27" t="s">
        <v>94</v>
      </c>
      <c r="U151" s="21">
        <v>0</v>
      </c>
      <c r="V151" s="27" t="s">
        <v>736</v>
      </c>
      <c r="W151" s="27">
        <v>500131</v>
      </c>
      <c r="X151" s="27" t="s">
        <v>347</v>
      </c>
      <c r="Y151" s="27" t="s">
        <v>323</v>
      </c>
      <c r="Z151" s="22" t="s">
        <v>94</v>
      </c>
      <c r="AA151" s="22" t="s">
        <v>616</v>
      </c>
      <c r="AB151" s="22" t="s">
        <v>49</v>
      </c>
      <c r="AC151" s="22" t="s">
        <v>96</v>
      </c>
      <c r="AD151" s="22" t="s">
        <v>40</v>
      </c>
    </row>
    <row r="152" spans="1:30" x14ac:dyDescent="0.25">
      <c r="A152" s="19" t="s">
        <v>11</v>
      </c>
      <c r="B152" s="22" t="s">
        <v>898</v>
      </c>
      <c r="C152" s="21">
        <v>5323966902</v>
      </c>
      <c r="D152" s="21" t="s">
        <v>14</v>
      </c>
      <c r="E152" s="21" t="s">
        <v>103</v>
      </c>
      <c r="F152" s="21">
        <v>600351</v>
      </c>
      <c r="G152" s="27" t="s">
        <v>546</v>
      </c>
      <c r="H152" s="27" t="s">
        <v>529</v>
      </c>
      <c r="I152" s="27" t="s">
        <v>20</v>
      </c>
      <c r="J152" s="21" t="s">
        <v>695</v>
      </c>
      <c r="K152" s="27" t="s">
        <v>50</v>
      </c>
      <c r="L152" s="21" t="s">
        <v>97</v>
      </c>
      <c r="M152" s="21" t="s">
        <v>734</v>
      </c>
      <c r="N152" s="36">
        <v>45997</v>
      </c>
      <c r="O152" s="36">
        <v>46000</v>
      </c>
      <c r="P152" s="21" t="s">
        <v>81</v>
      </c>
      <c r="Q152" s="37" t="s">
        <v>735</v>
      </c>
      <c r="R152" s="21" t="s">
        <v>790</v>
      </c>
      <c r="S152" s="21" t="s">
        <v>92</v>
      </c>
      <c r="T152" s="21" t="s">
        <v>95</v>
      </c>
      <c r="U152" s="21"/>
      <c r="V152" s="21" t="s">
        <v>736</v>
      </c>
      <c r="W152" s="21">
        <v>500109</v>
      </c>
      <c r="X152" s="21" t="s">
        <v>409</v>
      </c>
      <c r="Y152" s="21" t="s">
        <v>391</v>
      </c>
      <c r="Z152" s="22" t="s">
        <v>94</v>
      </c>
      <c r="AA152" s="22" t="s">
        <v>616</v>
      </c>
      <c r="AB152" s="22" t="s">
        <v>50</v>
      </c>
      <c r="AC152" s="22" t="s">
        <v>97</v>
      </c>
      <c r="AD152" s="22" t="s">
        <v>734</v>
      </c>
    </row>
    <row r="153" spans="1:30" x14ac:dyDescent="0.25">
      <c r="A153" s="19" t="s">
        <v>11</v>
      </c>
      <c r="B153" s="22" t="s">
        <v>861</v>
      </c>
      <c r="C153" s="21">
        <v>5353585776</v>
      </c>
      <c r="D153" s="21" t="s">
        <v>14</v>
      </c>
      <c r="E153" s="21" t="s">
        <v>103</v>
      </c>
      <c r="F153" s="21">
        <v>600661</v>
      </c>
      <c r="G153" s="21" t="s">
        <v>477</v>
      </c>
      <c r="H153" s="21" t="s">
        <v>471</v>
      </c>
      <c r="I153" s="27" t="s">
        <v>20</v>
      </c>
      <c r="J153" s="21" t="s">
        <v>695</v>
      </c>
      <c r="K153" s="27" t="s">
        <v>50</v>
      </c>
      <c r="L153" s="27" t="s">
        <v>97</v>
      </c>
      <c r="M153" s="21" t="s">
        <v>26</v>
      </c>
      <c r="N153" s="36">
        <v>45999</v>
      </c>
      <c r="O153" s="36">
        <v>46000</v>
      </c>
      <c r="P153" s="21" t="s">
        <v>81</v>
      </c>
      <c r="Q153" s="37" t="s">
        <v>735</v>
      </c>
      <c r="R153" s="21" t="s">
        <v>790</v>
      </c>
      <c r="S153" s="21" t="s">
        <v>92</v>
      </c>
      <c r="T153" s="21" t="s">
        <v>94</v>
      </c>
      <c r="U153" s="21">
        <v>0</v>
      </c>
      <c r="V153" s="21" t="s">
        <v>736</v>
      </c>
      <c r="W153" s="21">
        <v>500196</v>
      </c>
      <c r="X153" s="21" t="s">
        <v>675</v>
      </c>
      <c r="Y153" s="21" t="s">
        <v>323</v>
      </c>
      <c r="Z153" s="22" t="s">
        <v>94</v>
      </c>
      <c r="AA153" s="22" t="s">
        <v>616</v>
      </c>
      <c r="AB153" s="22" t="s">
        <v>50</v>
      </c>
      <c r="AC153" s="22" t="s">
        <v>97</v>
      </c>
      <c r="AD153" s="22" t="s">
        <v>26</v>
      </c>
    </row>
    <row r="154" spans="1:30" x14ac:dyDescent="0.25">
      <c r="A154" s="19" t="s">
        <v>11</v>
      </c>
      <c r="B154" s="22" t="s">
        <v>899</v>
      </c>
      <c r="C154" s="27">
        <v>5454583315</v>
      </c>
      <c r="D154" s="22" t="s">
        <v>15</v>
      </c>
      <c r="E154" s="22" t="s">
        <v>104</v>
      </c>
      <c r="F154" s="27">
        <v>600725</v>
      </c>
      <c r="G154" s="27" t="s">
        <v>475</v>
      </c>
      <c r="H154" s="27" t="s">
        <v>471</v>
      </c>
      <c r="I154" s="27" t="s">
        <v>20</v>
      </c>
      <c r="J154" s="27" t="s">
        <v>695</v>
      </c>
      <c r="K154" s="27" t="s">
        <v>66</v>
      </c>
      <c r="L154" s="27" t="s">
        <v>97</v>
      </c>
      <c r="M154" s="27" t="s">
        <v>734</v>
      </c>
      <c r="N154" s="36">
        <v>45999</v>
      </c>
      <c r="O154" s="36">
        <v>46001</v>
      </c>
      <c r="P154" s="19" t="s">
        <v>79</v>
      </c>
      <c r="Q154" s="37" t="s">
        <v>735</v>
      </c>
      <c r="R154" s="21" t="s">
        <v>790</v>
      </c>
      <c r="S154" s="21" t="s">
        <v>92</v>
      </c>
      <c r="T154" s="21" t="s">
        <v>94</v>
      </c>
      <c r="U154" s="21">
        <v>0</v>
      </c>
      <c r="V154" s="27" t="s">
        <v>736</v>
      </c>
      <c r="W154" s="27">
        <v>600725</v>
      </c>
      <c r="X154" s="27" t="s">
        <v>475</v>
      </c>
      <c r="Y154" s="27" t="s">
        <v>471</v>
      </c>
      <c r="Z154" s="22" t="s">
        <v>94</v>
      </c>
      <c r="AA154" s="22" t="s">
        <v>616</v>
      </c>
      <c r="AB154" s="22" t="s">
        <v>66</v>
      </c>
      <c r="AC154" s="22" t="s">
        <v>97</v>
      </c>
      <c r="AD154" s="22" t="s">
        <v>734</v>
      </c>
    </row>
    <row r="155" spans="1:30" x14ac:dyDescent="0.25">
      <c r="A155" s="19" t="s">
        <v>11</v>
      </c>
      <c r="B155" s="22" t="s">
        <v>900</v>
      </c>
      <c r="C155" s="21">
        <v>5332489543</v>
      </c>
      <c r="D155" s="22" t="s">
        <v>15</v>
      </c>
      <c r="E155" s="22" t="s">
        <v>104</v>
      </c>
      <c r="F155" s="21">
        <v>111050</v>
      </c>
      <c r="G155" s="22" t="s">
        <v>314</v>
      </c>
      <c r="H155" s="22" t="s">
        <v>302</v>
      </c>
      <c r="I155" s="21" t="s">
        <v>18</v>
      </c>
      <c r="J155" s="21" t="s">
        <v>695</v>
      </c>
      <c r="K155" s="21" t="s">
        <v>65</v>
      </c>
      <c r="L155" s="21" t="s">
        <v>41</v>
      </c>
      <c r="M155" s="21" t="s">
        <v>42</v>
      </c>
      <c r="N155" s="36">
        <v>45999</v>
      </c>
      <c r="O155" s="36">
        <v>46001</v>
      </c>
      <c r="P155" s="19" t="s">
        <v>79</v>
      </c>
      <c r="Q155" s="37" t="s">
        <v>735</v>
      </c>
      <c r="R155" s="21" t="s">
        <v>790</v>
      </c>
      <c r="S155" s="21" t="s">
        <v>92</v>
      </c>
      <c r="T155" s="21" t="s">
        <v>94</v>
      </c>
      <c r="U155" s="21">
        <v>0</v>
      </c>
      <c r="V155" s="21" t="s">
        <v>736</v>
      </c>
      <c r="W155" s="21">
        <v>600399</v>
      </c>
      <c r="X155" s="21" t="s">
        <v>557</v>
      </c>
      <c r="Y155" s="21" t="s">
        <v>548</v>
      </c>
      <c r="Z155" s="22" t="s">
        <v>94</v>
      </c>
      <c r="AA155" s="22" t="s">
        <v>616</v>
      </c>
      <c r="AB155" s="22" t="s">
        <v>65</v>
      </c>
      <c r="AC155" s="22" t="s">
        <v>41</v>
      </c>
      <c r="AD155" s="22" t="s">
        <v>42</v>
      </c>
    </row>
    <row r="156" spans="1:30" x14ac:dyDescent="0.25">
      <c r="A156" s="19" t="s">
        <v>11</v>
      </c>
      <c r="B156" s="22" t="s">
        <v>901</v>
      </c>
      <c r="C156" s="21">
        <v>5444550601</v>
      </c>
      <c r="D156" s="22" t="s">
        <v>15</v>
      </c>
      <c r="E156" s="22" t="s">
        <v>104</v>
      </c>
      <c r="F156" s="21">
        <v>111222</v>
      </c>
      <c r="G156" s="22" t="s">
        <v>250</v>
      </c>
      <c r="H156" s="22" t="s">
        <v>234</v>
      </c>
      <c r="I156" s="21" t="s">
        <v>18</v>
      </c>
      <c r="J156" s="21" t="s">
        <v>695</v>
      </c>
      <c r="K156" s="22" t="s">
        <v>70</v>
      </c>
      <c r="L156" s="21" t="s">
        <v>41</v>
      </c>
      <c r="M156" s="21" t="s">
        <v>44</v>
      </c>
      <c r="N156" s="36">
        <v>45999</v>
      </c>
      <c r="O156" s="36">
        <v>46001</v>
      </c>
      <c r="P156" s="19" t="s">
        <v>79</v>
      </c>
      <c r="Q156" s="37" t="s">
        <v>735</v>
      </c>
      <c r="R156" s="21" t="s">
        <v>790</v>
      </c>
      <c r="S156" s="21" t="s">
        <v>92</v>
      </c>
      <c r="T156" s="21" t="s">
        <v>94</v>
      </c>
      <c r="U156" s="21">
        <v>0</v>
      </c>
      <c r="V156" s="21" t="s">
        <v>736</v>
      </c>
      <c r="W156" s="21">
        <v>111145</v>
      </c>
      <c r="X156" s="21" t="s">
        <v>170</v>
      </c>
      <c r="Y156" s="21" t="s">
        <v>162</v>
      </c>
      <c r="Z156" s="22" t="s">
        <v>95</v>
      </c>
      <c r="AA156" s="22" t="s">
        <v>617</v>
      </c>
      <c r="AB156" s="22" t="s">
        <v>70</v>
      </c>
      <c r="AC156" s="22" t="s">
        <v>41</v>
      </c>
      <c r="AD156" s="22" t="s">
        <v>44</v>
      </c>
    </row>
    <row r="157" spans="1:30" x14ac:dyDescent="0.25">
      <c r="A157" s="19" t="s">
        <v>11</v>
      </c>
      <c r="B157" s="22" t="s">
        <v>902</v>
      </c>
      <c r="C157" s="21">
        <v>5398693495</v>
      </c>
      <c r="D157" s="22" t="s">
        <v>15</v>
      </c>
      <c r="E157" s="22" t="s">
        <v>104</v>
      </c>
      <c r="F157" s="21">
        <v>111123</v>
      </c>
      <c r="G157" s="22" t="s">
        <v>255</v>
      </c>
      <c r="H157" s="22" t="s">
        <v>251</v>
      </c>
      <c r="I157" s="21" t="s">
        <v>18</v>
      </c>
      <c r="J157" s="21" t="s">
        <v>695</v>
      </c>
      <c r="K157" s="22" t="s">
        <v>66</v>
      </c>
      <c r="L157" s="21" t="s">
        <v>41</v>
      </c>
      <c r="M157" s="21" t="s">
        <v>42</v>
      </c>
      <c r="N157" s="36">
        <v>46000</v>
      </c>
      <c r="O157" s="36">
        <v>46001</v>
      </c>
      <c r="P157" s="19" t="s">
        <v>79</v>
      </c>
      <c r="Q157" s="37" t="s">
        <v>735</v>
      </c>
      <c r="R157" s="21" t="s">
        <v>790</v>
      </c>
      <c r="S157" s="21" t="s">
        <v>92</v>
      </c>
      <c r="T157" s="21" t="s">
        <v>94</v>
      </c>
      <c r="U157" s="21">
        <v>0</v>
      </c>
      <c r="V157" s="21" t="s">
        <v>736</v>
      </c>
      <c r="W157" s="21">
        <v>111031</v>
      </c>
      <c r="X157" s="21" t="s">
        <v>311</v>
      </c>
      <c r="Y157" s="21" t="s">
        <v>302</v>
      </c>
      <c r="Z157" s="22" t="s">
        <v>95</v>
      </c>
      <c r="AA157" s="22" t="s">
        <v>617</v>
      </c>
      <c r="AB157" s="22" t="s">
        <v>66</v>
      </c>
      <c r="AC157" s="22" t="s">
        <v>41</v>
      </c>
      <c r="AD157" s="22" t="s">
        <v>42</v>
      </c>
    </row>
    <row r="158" spans="1:30" x14ac:dyDescent="0.25">
      <c r="A158" s="19" t="s">
        <v>11</v>
      </c>
      <c r="B158" s="22" t="s">
        <v>903</v>
      </c>
      <c r="C158" s="21">
        <v>5468403008</v>
      </c>
      <c r="D158" s="22" t="s">
        <v>14</v>
      </c>
      <c r="E158" s="22" t="s">
        <v>103</v>
      </c>
      <c r="F158" s="21">
        <v>500091</v>
      </c>
      <c r="G158" s="22" t="s">
        <v>400</v>
      </c>
      <c r="H158" s="22" t="s">
        <v>391</v>
      </c>
      <c r="I158" s="21" t="s">
        <v>19</v>
      </c>
      <c r="J158" s="21" t="s">
        <v>695</v>
      </c>
      <c r="K158" s="22" t="s">
        <v>49</v>
      </c>
      <c r="L158" s="21" t="s">
        <v>97</v>
      </c>
      <c r="M158" s="21" t="s">
        <v>734</v>
      </c>
      <c r="N158" s="36">
        <v>46000</v>
      </c>
      <c r="O158" s="36">
        <v>46001</v>
      </c>
      <c r="P158" s="21" t="s">
        <v>81</v>
      </c>
      <c r="Q158" s="37" t="s">
        <v>735</v>
      </c>
      <c r="R158" s="21" t="s">
        <v>790</v>
      </c>
      <c r="S158" s="21" t="s">
        <v>92</v>
      </c>
      <c r="T158" s="21" t="s">
        <v>95</v>
      </c>
      <c r="U158" s="21">
        <v>100</v>
      </c>
      <c r="V158" s="21" t="s">
        <v>736</v>
      </c>
      <c r="W158" s="21">
        <v>500010</v>
      </c>
      <c r="X158" s="21" t="s">
        <v>326</v>
      </c>
      <c r="Y158" s="21" t="s">
        <v>609</v>
      </c>
      <c r="Z158" s="22" t="s">
        <v>95</v>
      </c>
      <c r="AA158" s="22" t="s">
        <v>617</v>
      </c>
      <c r="AB158" s="22" t="s">
        <v>49</v>
      </c>
      <c r="AC158" s="22" t="s">
        <v>97</v>
      </c>
      <c r="AD158" s="22" t="s">
        <v>734</v>
      </c>
    </row>
    <row r="159" spans="1:30" x14ac:dyDescent="0.25">
      <c r="A159" s="19" t="s">
        <v>11</v>
      </c>
      <c r="B159" s="22" t="s">
        <v>903</v>
      </c>
      <c r="C159" s="21">
        <v>5468403008</v>
      </c>
      <c r="D159" s="22" t="s">
        <v>14</v>
      </c>
      <c r="E159" s="22" t="s">
        <v>103</v>
      </c>
      <c r="F159" s="21">
        <v>500127</v>
      </c>
      <c r="G159" s="22" t="s">
        <v>345</v>
      </c>
      <c r="H159" s="22" t="s">
        <v>323</v>
      </c>
      <c r="I159" s="21" t="s">
        <v>19</v>
      </c>
      <c r="J159" s="21" t="s">
        <v>695</v>
      </c>
      <c r="K159" s="22" t="s">
        <v>49</v>
      </c>
      <c r="L159" s="21" t="s">
        <v>97</v>
      </c>
      <c r="M159" s="21" t="s">
        <v>734</v>
      </c>
      <c r="N159" s="36">
        <v>46000</v>
      </c>
      <c r="O159" s="36">
        <v>46001</v>
      </c>
      <c r="P159" s="21" t="s">
        <v>1145</v>
      </c>
      <c r="Q159" s="37" t="s">
        <v>735</v>
      </c>
      <c r="R159" s="21" t="s">
        <v>790</v>
      </c>
      <c r="S159" s="21" t="s">
        <v>92</v>
      </c>
      <c r="T159" s="21" t="s">
        <v>94</v>
      </c>
      <c r="U159" s="21">
        <v>0</v>
      </c>
      <c r="V159" s="21" t="s">
        <v>736</v>
      </c>
      <c r="W159" s="21">
        <v>500010</v>
      </c>
      <c r="X159" s="21" t="s">
        <v>326</v>
      </c>
      <c r="Y159" s="21" t="s">
        <v>609</v>
      </c>
      <c r="Z159" s="22" t="s">
        <v>95</v>
      </c>
      <c r="AA159" s="22" t="s">
        <v>617</v>
      </c>
      <c r="AB159" s="22" t="s">
        <v>49</v>
      </c>
      <c r="AC159" s="22" t="s">
        <v>97</v>
      </c>
      <c r="AD159" s="22" t="s">
        <v>734</v>
      </c>
    </row>
    <row r="160" spans="1:30" x14ac:dyDescent="0.25">
      <c r="A160" s="19" t="s">
        <v>11</v>
      </c>
      <c r="B160" s="22" t="s">
        <v>903</v>
      </c>
      <c r="C160" s="21">
        <v>5468403008</v>
      </c>
      <c r="D160" s="22" t="s">
        <v>14</v>
      </c>
      <c r="E160" s="22" t="s">
        <v>103</v>
      </c>
      <c r="F160" s="21">
        <v>500189</v>
      </c>
      <c r="G160" s="22" t="s">
        <v>668</v>
      </c>
      <c r="H160" s="22" t="s">
        <v>389</v>
      </c>
      <c r="I160" s="21" t="s">
        <v>19</v>
      </c>
      <c r="J160" s="21" t="s">
        <v>695</v>
      </c>
      <c r="K160" s="22" t="s">
        <v>49</v>
      </c>
      <c r="L160" s="21" t="s">
        <v>97</v>
      </c>
      <c r="M160" s="21" t="s">
        <v>734</v>
      </c>
      <c r="N160" s="36">
        <v>46000</v>
      </c>
      <c r="O160" s="36">
        <v>46001</v>
      </c>
      <c r="P160" s="21" t="s">
        <v>1145</v>
      </c>
      <c r="Q160" s="37" t="s">
        <v>735</v>
      </c>
      <c r="R160" s="21" t="s">
        <v>790</v>
      </c>
      <c r="S160" s="21" t="s">
        <v>92</v>
      </c>
      <c r="T160" s="21" t="s">
        <v>94</v>
      </c>
      <c r="U160" s="21">
        <v>0</v>
      </c>
      <c r="V160" s="21" t="s">
        <v>736</v>
      </c>
      <c r="W160" s="21">
        <v>500189</v>
      </c>
      <c r="X160" s="22" t="s">
        <v>668</v>
      </c>
      <c r="Y160" s="22" t="s">
        <v>389</v>
      </c>
      <c r="Z160" s="22" t="s">
        <v>94</v>
      </c>
      <c r="AA160" s="22" t="s">
        <v>616</v>
      </c>
      <c r="AB160" s="22" t="s">
        <v>49</v>
      </c>
      <c r="AC160" s="22" t="s">
        <v>97</v>
      </c>
      <c r="AD160" s="22" t="s">
        <v>734</v>
      </c>
    </row>
    <row r="161" spans="1:30" x14ac:dyDescent="0.25">
      <c r="A161" s="19" t="s">
        <v>11</v>
      </c>
      <c r="B161" s="22" t="s">
        <v>903</v>
      </c>
      <c r="C161" s="21">
        <v>5468403008</v>
      </c>
      <c r="D161" s="22" t="s">
        <v>14</v>
      </c>
      <c r="E161" s="22" t="s">
        <v>103</v>
      </c>
      <c r="F161" s="21">
        <v>600189</v>
      </c>
      <c r="G161" s="22" t="s">
        <v>645</v>
      </c>
      <c r="H161" s="22" t="s">
        <v>645</v>
      </c>
      <c r="I161" s="21" t="s">
        <v>19</v>
      </c>
      <c r="J161" s="22" t="s">
        <v>99</v>
      </c>
      <c r="K161" s="22" t="s">
        <v>49</v>
      </c>
      <c r="L161" s="21" t="s">
        <v>97</v>
      </c>
      <c r="M161" s="21" t="s">
        <v>734</v>
      </c>
      <c r="N161" s="36">
        <v>46000</v>
      </c>
      <c r="O161" s="36">
        <v>46001</v>
      </c>
      <c r="P161" s="21" t="s">
        <v>81</v>
      </c>
      <c r="Q161" s="37" t="s">
        <v>735</v>
      </c>
      <c r="R161" s="21" t="s">
        <v>790</v>
      </c>
      <c r="S161" s="21" t="s">
        <v>93</v>
      </c>
      <c r="T161" s="21" t="s">
        <v>95</v>
      </c>
      <c r="U161" s="21" t="s">
        <v>735</v>
      </c>
      <c r="V161" s="21" t="s">
        <v>736</v>
      </c>
      <c r="W161" s="21">
        <v>500010</v>
      </c>
      <c r="X161" s="21" t="s">
        <v>326</v>
      </c>
      <c r="Y161" s="21" t="s">
        <v>609</v>
      </c>
      <c r="Z161" s="22" t="s">
        <v>95</v>
      </c>
      <c r="AA161" s="22" t="s">
        <v>617</v>
      </c>
      <c r="AB161" s="22" t="s">
        <v>49</v>
      </c>
      <c r="AC161" s="22" t="s">
        <v>97</v>
      </c>
      <c r="AD161" s="22" t="s">
        <v>734</v>
      </c>
    </row>
    <row r="162" spans="1:30" x14ac:dyDescent="0.25">
      <c r="A162" s="19" t="s">
        <v>11</v>
      </c>
      <c r="B162" s="22" t="s">
        <v>903</v>
      </c>
      <c r="C162" s="21">
        <v>5468403008</v>
      </c>
      <c r="D162" s="22" t="s">
        <v>14</v>
      </c>
      <c r="E162" s="22" t="s">
        <v>103</v>
      </c>
      <c r="F162" s="21">
        <v>500142</v>
      </c>
      <c r="G162" s="22" t="s">
        <v>352</v>
      </c>
      <c r="H162" s="22" t="s">
        <v>646</v>
      </c>
      <c r="I162" s="21" t="s">
        <v>19</v>
      </c>
      <c r="J162" s="21" t="s">
        <v>695</v>
      </c>
      <c r="K162" s="22" t="s">
        <v>49</v>
      </c>
      <c r="L162" s="21" t="s">
        <v>97</v>
      </c>
      <c r="M162" s="21" t="s">
        <v>734</v>
      </c>
      <c r="N162" s="36">
        <v>46000</v>
      </c>
      <c r="O162" s="36">
        <v>46001</v>
      </c>
      <c r="P162" s="21" t="s">
        <v>81</v>
      </c>
      <c r="Q162" s="37" t="s">
        <v>735</v>
      </c>
      <c r="R162" s="21" t="s">
        <v>790</v>
      </c>
      <c r="S162" s="21" t="s">
        <v>92</v>
      </c>
      <c r="T162" s="21" t="s">
        <v>95</v>
      </c>
      <c r="U162" s="21">
        <v>100</v>
      </c>
      <c r="V162" s="21" t="s">
        <v>736</v>
      </c>
      <c r="W162" s="21">
        <v>500010</v>
      </c>
      <c r="X162" s="21" t="s">
        <v>326</v>
      </c>
      <c r="Y162" s="21" t="s">
        <v>609</v>
      </c>
      <c r="Z162" s="22" t="s">
        <v>95</v>
      </c>
      <c r="AA162" s="22" t="s">
        <v>617</v>
      </c>
      <c r="AB162" s="22" t="s">
        <v>49</v>
      </c>
      <c r="AC162" s="22" t="s">
        <v>97</v>
      </c>
      <c r="AD162" s="22" t="s">
        <v>734</v>
      </c>
    </row>
    <row r="163" spans="1:30" x14ac:dyDescent="0.25">
      <c r="A163" s="19" t="s">
        <v>11</v>
      </c>
      <c r="B163" s="22" t="s">
        <v>903</v>
      </c>
      <c r="C163" s="21">
        <v>5468403008</v>
      </c>
      <c r="D163" s="22" t="s">
        <v>14</v>
      </c>
      <c r="E163" s="22" t="s">
        <v>103</v>
      </c>
      <c r="F163" s="21">
        <v>500050</v>
      </c>
      <c r="G163" s="22" t="s">
        <v>379</v>
      </c>
      <c r="H163" s="22" t="s">
        <v>645</v>
      </c>
      <c r="I163" s="21" t="s">
        <v>19</v>
      </c>
      <c r="J163" s="21" t="s">
        <v>695</v>
      </c>
      <c r="K163" s="22" t="s">
        <v>49</v>
      </c>
      <c r="L163" s="21" t="s">
        <v>97</v>
      </c>
      <c r="M163" s="21" t="s">
        <v>734</v>
      </c>
      <c r="N163" s="36">
        <v>46000</v>
      </c>
      <c r="O163" s="36">
        <v>46001</v>
      </c>
      <c r="P163" s="21" t="s">
        <v>1145</v>
      </c>
      <c r="Q163" s="37" t="s">
        <v>735</v>
      </c>
      <c r="R163" s="21" t="s">
        <v>790</v>
      </c>
      <c r="S163" s="21" t="s">
        <v>92</v>
      </c>
      <c r="T163" s="21" t="s">
        <v>94</v>
      </c>
      <c r="U163" s="21">
        <v>0</v>
      </c>
      <c r="V163" s="21" t="s">
        <v>736</v>
      </c>
      <c r="W163" s="21">
        <v>500010</v>
      </c>
      <c r="X163" s="21" t="s">
        <v>326</v>
      </c>
      <c r="Y163" s="21" t="s">
        <v>609</v>
      </c>
      <c r="Z163" s="22" t="s">
        <v>95</v>
      </c>
      <c r="AA163" s="22" t="s">
        <v>617</v>
      </c>
      <c r="AB163" s="22" t="s">
        <v>49</v>
      </c>
      <c r="AC163" s="22" t="s">
        <v>97</v>
      </c>
      <c r="AD163" s="22" t="s">
        <v>734</v>
      </c>
    </row>
    <row r="164" spans="1:30" x14ac:dyDescent="0.25">
      <c r="A164" s="19" t="s">
        <v>11</v>
      </c>
      <c r="B164" s="22" t="s">
        <v>903</v>
      </c>
      <c r="C164" s="21">
        <v>5468403008</v>
      </c>
      <c r="D164" s="22" t="s">
        <v>14</v>
      </c>
      <c r="E164" s="22" t="s">
        <v>103</v>
      </c>
      <c r="F164" s="19">
        <v>500057</v>
      </c>
      <c r="G164" s="22" t="s">
        <v>389</v>
      </c>
      <c r="H164" s="22" t="s">
        <v>389</v>
      </c>
      <c r="I164" s="21" t="s">
        <v>19</v>
      </c>
      <c r="J164" s="22" t="s">
        <v>99</v>
      </c>
      <c r="K164" s="22" t="s">
        <v>49</v>
      </c>
      <c r="L164" s="21" t="s">
        <v>97</v>
      </c>
      <c r="M164" s="21" t="s">
        <v>734</v>
      </c>
      <c r="N164" s="36">
        <v>46000</v>
      </c>
      <c r="O164" s="36">
        <v>46001</v>
      </c>
      <c r="P164" s="21" t="s">
        <v>81</v>
      </c>
      <c r="Q164" s="37" t="s">
        <v>735</v>
      </c>
      <c r="R164" s="21" t="s">
        <v>790</v>
      </c>
      <c r="S164" s="21" t="s">
        <v>93</v>
      </c>
      <c r="T164" s="21" t="s">
        <v>95</v>
      </c>
      <c r="U164" s="21" t="s">
        <v>735</v>
      </c>
      <c r="V164" s="21" t="s">
        <v>736</v>
      </c>
      <c r="W164" s="21">
        <v>500010</v>
      </c>
      <c r="X164" s="21" t="s">
        <v>326</v>
      </c>
      <c r="Y164" s="21" t="s">
        <v>609</v>
      </c>
      <c r="Z164" s="22" t="s">
        <v>95</v>
      </c>
      <c r="AA164" s="22" t="s">
        <v>617</v>
      </c>
      <c r="AB164" s="22" t="s">
        <v>49</v>
      </c>
      <c r="AC164" s="22" t="s">
        <v>97</v>
      </c>
      <c r="AD164" s="22" t="s">
        <v>734</v>
      </c>
    </row>
    <row r="165" spans="1:30" x14ac:dyDescent="0.25">
      <c r="A165" s="19" t="s">
        <v>11</v>
      </c>
      <c r="B165" s="22" t="s">
        <v>904</v>
      </c>
      <c r="C165" s="21">
        <v>5425323466</v>
      </c>
      <c r="D165" s="22" t="s">
        <v>14</v>
      </c>
      <c r="E165" s="22" t="s">
        <v>103</v>
      </c>
      <c r="F165" s="21">
        <v>110403</v>
      </c>
      <c r="G165" s="22" t="s">
        <v>294</v>
      </c>
      <c r="H165" s="22" t="s">
        <v>285</v>
      </c>
      <c r="I165" s="21" t="s">
        <v>18</v>
      </c>
      <c r="J165" s="21" t="s">
        <v>695</v>
      </c>
      <c r="K165" s="22" t="s">
        <v>59</v>
      </c>
      <c r="L165" s="21" t="s">
        <v>97</v>
      </c>
      <c r="M165" s="21" t="s">
        <v>734</v>
      </c>
      <c r="N165" s="36">
        <v>46001</v>
      </c>
      <c r="O165" s="36">
        <v>46001</v>
      </c>
      <c r="P165" s="21" t="s">
        <v>1145</v>
      </c>
      <c r="Q165" s="37" t="s">
        <v>735</v>
      </c>
      <c r="R165" s="21" t="s">
        <v>790</v>
      </c>
      <c r="S165" s="21" t="s">
        <v>92</v>
      </c>
      <c r="T165" s="21" t="s">
        <v>95</v>
      </c>
      <c r="U165" s="21">
        <v>60</v>
      </c>
      <c r="V165" s="21" t="s">
        <v>736</v>
      </c>
      <c r="W165" s="21">
        <v>600625</v>
      </c>
      <c r="X165" s="21" t="s">
        <v>497</v>
      </c>
      <c r="Y165" s="21" t="s">
        <v>492</v>
      </c>
      <c r="Z165" s="22" t="s">
        <v>94</v>
      </c>
      <c r="AA165" s="22" t="s">
        <v>616</v>
      </c>
      <c r="AB165" s="22" t="s">
        <v>59</v>
      </c>
      <c r="AC165" s="22" t="s">
        <v>97</v>
      </c>
      <c r="AD165" s="22" t="s">
        <v>734</v>
      </c>
    </row>
    <row r="166" spans="1:30" x14ac:dyDescent="0.25">
      <c r="A166" s="19" t="s">
        <v>11</v>
      </c>
      <c r="B166" s="22" t="s">
        <v>905</v>
      </c>
      <c r="C166" s="21">
        <v>5358299148</v>
      </c>
      <c r="D166" s="22" t="s">
        <v>12</v>
      </c>
      <c r="E166" s="22" t="s">
        <v>103</v>
      </c>
      <c r="F166" s="21">
        <v>500137</v>
      </c>
      <c r="G166" s="22" t="s">
        <v>440</v>
      </c>
      <c r="H166" s="22" t="s">
        <v>389</v>
      </c>
      <c r="I166" s="21" t="s">
        <v>19</v>
      </c>
      <c r="J166" s="21" t="s">
        <v>695</v>
      </c>
      <c r="K166" s="22" t="s">
        <v>59</v>
      </c>
      <c r="L166" s="27" t="s">
        <v>96</v>
      </c>
      <c r="M166" s="21" t="s">
        <v>38</v>
      </c>
      <c r="N166" s="36">
        <v>45999</v>
      </c>
      <c r="O166" s="36">
        <v>46002</v>
      </c>
      <c r="P166" s="21" t="s">
        <v>1145</v>
      </c>
      <c r="Q166" s="37" t="s">
        <v>735</v>
      </c>
      <c r="R166" s="21" t="s">
        <v>790</v>
      </c>
      <c r="S166" s="21" t="s">
        <v>92</v>
      </c>
      <c r="T166" s="21" t="s">
        <v>95</v>
      </c>
      <c r="U166" s="21">
        <v>63</v>
      </c>
      <c r="V166" s="21" t="s">
        <v>736</v>
      </c>
      <c r="W166" s="21">
        <v>600473</v>
      </c>
      <c r="X166" s="21" t="s">
        <v>500</v>
      </c>
      <c r="Y166" s="21" t="s">
        <v>492</v>
      </c>
      <c r="Z166" s="22" t="s">
        <v>95</v>
      </c>
      <c r="AA166" s="22" t="s">
        <v>617</v>
      </c>
      <c r="AB166" s="22" t="s">
        <v>59</v>
      </c>
      <c r="AC166" s="22" t="s">
        <v>96</v>
      </c>
      <c r="AD166" s="22" t="s">
        <v>38</v>
      </c>
    </row>
    <row r="167" spans="1:30" x14ac:dyDescent="0.25">
      <c r="A167" s="19" t="s">
        <v>11</v>
      </c>
      <c r="B167" s="22" t="s">
        <v>905</v>
      </c>
      <c r="C167" s="21">
        <v>5358299148</v>
      </c>
      <c r="D167" s="22" t="s">
        <v>12</v>
      </c>
      <c r="E167" s="22" t="s">
        <v>103</v>
      </c>
      <c r="F167" s="21">
        <v>500087</v>
      </c>
      <c r="G167" s="22" t="s">
        <v>434</v>
      </c>
      <c r="H167" s="22" t="s">
        <v>392</v>
      </c>
      <c r="I167" s="21" t="s">
        <v>19</v>
      </c>
      <c r="J167" s="21" t="s">
        <v>695</v>
      </c>
      <c r="K167" s="22" t="s">
        <v>59</v>
      </c>
      <c r="L167" s="27" t="s">
        <v>96</v>
      </c>
      <c r="M167" s="21" t="s">
        <v>38</v>
      </c>
      <c r="N167" s="36">
        <v>46000</v>
      </c>
      <c r="O167" s="36">
        <v>46002</v>
      </c>
      <c r="P167" s="21" t="s">
        <v>1145</v>
      </c>
      <c r="Q167" s="37" t="s">
        <v>735</v>
      </c>
      <c r="R167" s="21" t="s">
        <v>790</v>
      </c>
      <c r="S167" s="21" t="s">
        <v>92</v>
      </c>
      <c r="T167" s="21" t="s">
        <v>94</v>
      </c>
      <c r="U167" s="21">
        <v>0</v>
      </c>
      <c r="V167" s="21" t="s">
        <v>736</v>
      </c>
      <c r="W167" s="21">
        <v>600473</v>
      </c>
      <c r="X167" s="21" t="s">
        <v>500</v>
      </c>
      <c r="Y167" s="21" t="s">
        <v>492</v>
      </c>
      <c r="Z167" s="22" t="s">
        <v>95</v>
      </c>
      <c r="AA167" s="22" t="s">
        <v>617</v>
      </c>
      <c r="AB167" s="22" t="s">
        <v>59</v>
      </c>
      <c r="AC167" s="22" t="s">
        <v>96</v>
      </c>
      <c r="AD167" s="22" t="s">
        <v>38</v>
      </c>
    </row>
    <row r="168" spans="1:30" x14ac:dyDescent="0.25">
      <c r="A168" s="19" t="s">
        <v>11</v>
      </c>
      <c r="B168" s="22" t="s">
        <v>906</v>
      </c>
      <c r="C168" s="21">
        <v>5317074554</v>
      </c>
      <c r="D168" s="22" t="s">
        <v>12</v>
      </c>
      <c r="E168" s="22" t="s">
        <v>103</v>
      </c>
      <c r="F168" s="21">
        <v>500150</v>
      </c>
      <c r="G168" s="22" t="s">
        <v>359</v>
      </c>
      <c r="H168" s="22" t="s">
        <v>646</v>
      </c>
      <c r="I168" s="21" t="s">
        <v>19</v>
      </c>
      <c r="J168" s="21" t="s">
        <v>695</v>
      </c>
      <c r="K168" s="22" t="s">
        <v>49</v>
      </c>
      <c r="L168" s="21" t="s">
        <v>97</v>
      </c>
      <c r="M168" s="21" t="s">
        <v>21</v>
      </c>
      <c r="N168" s="36">
        <v>46001</v>
      </c>
      <c r="O168" s="36">
        <v>46002</v>
      </c>
      <c r="P168" s="21" t="s">
        <v>1145</v>
      </c>
      <c r="Q168" s="37" t="s">
        <v>735</v>
      </c>
      <c r="R168" s="21" t="s">
        <v>790</v>
      </c>
      <c r="S168" s="21" t="s">
        <v>92</v>
      </c>
      <c r="T168" s="21" t="s">
        <v>94</v>
      </c>
      <c r="U168" s="21">
        <v>0</v>
      </c>
      <c r="V168" s="21" t="s">
        <v>736</v>
      </c>
      <c r="W168" s="21">
        <v>500131</v>
      </c>
      <c r="X168" s="21" t="s">
        <v>347</v>
      </c>
      <c r="Y168" s="21" t="s">
        <v>323</v>
      </c>
      <c r="Z168" s="22" t="s">
        <v>95</v>
      </c>
      <c r="AA168" s="22" t="s">
        <v>617</v>
      </c>
      <c r="AB168" s="22" t="s">
        <v>49</v>
      </c>
      <c r="AC168" s="22" t="s">
        <v>97</v>
      </c>
      <c r="AD168" s="22" t="s">
        <v>21</v>
      </c>
    </row>
    <row r="169" spans="1:30" x14ac:dyDescent="0.25">
      <c r="A169" s="19" t="s">
        <v>11</v>
      </c>
      <c r="B169" s="22" t="s">
        <v>907</v>
      </c>
      <c r="C169" s="21">
        <v>5424020670</v>
      </c>
      <c r="D169" s="22" t="s">
        <v>12</v>
      </c>
      <c r="E169" s="22" t="s">
        <v>103</v>
      </c>
      <c r="F169" s="21">
        <v>500072</v>
      </c>
      <c r="G169" s="22" t="s">
        <v>423</v>
      </c>
      <c r="H169" s="22" t="s">
        <v>392</v>
      </c>
      <c r="I169" s="21" t="s">
        <v>19</v>
      </c>
      <c r="J169" s="21" t="s">
        <v>695</v>
      </c>
      <c r="K169" s="22" t="s">
        <v>70</v>
      </c>
      <c r="L169" s="22" t="s">
        <v>47</v>
      </c>
      <c r="M169" s="21" t="s">
        <v>603</v>
      </c>
      <c r="N169" s="36">
        <v>46001</v>
      </c>
      <c r="O169" s="36">
        <v>46002</v>
      </c>
      <c r="P169" s="21" t="s">
        <v>80</v>
      </c>
      <c r="Q169" s="37" t="s">
        <v>735</v>
      </c>
      <c r="R169" s="21" t="s">
        <v>790</v>
      </c>
      <c r="S169" s="21" t="s">
        <v>92</v>
      </c>
      <c r="T169" s="21" t="s">
        <v>95</v>
      </c>
      <c r="U169" s="21">
        <v>85</v>
      </c>
      <c r="V169" s="21" t="s">
        <v>736</v>
      </c>
      <c r="W169" s="21">
        <v>500094</v>
      </c>
      <c r="X169" s="21" t="s">
        <v>395</v>
      </c>
      <c r="Y169" s="21" t="s">
        <v>391</v>
      </c>
      <c r="Z169" s="22" t="s">
        <v>95</v>
      </c>
      <c r="AA169" s="22" t="s">
        <v>617</v>
      </c>
      <c r="AB169" s="22" t="s">
        <v>70</v>
      </c>
      <c r="AC169" s="22" t="s">
        <v>47</v>
      </c>
      <c r="AD169" s="22" t="s">
        <v>603</v>
      </c>
    </row>
    <row r="170" spans="1:30" x14ac:dyDescent="0.25">
      <c r="A170" s="19" t="s">
        <v>11</v>
      </c>
      <c r="B170" s="22" t="s">
        <v>907</v>
      </c>
      <c r="C170" s="21">
        <v>5424020670</v>
      </c>
      <c r="D170" s="22" t="s">
        <v>12</v>
      </c>
      <c r="E170" s="22" t="s">
        <v>103</v>
      </c>
      <c r="F170" s="21">
        <v>500079</v>
      </c>
      <c r="G170" s="22" t="s">
        <v>935</v>
      </c>
      <c r="H170" s="22" t="s">
        <v>392</v>
      </c>
      <c r="I170" s="21" t="s">
        <v>19</v>
      </c>
      <c r="J170" s="21" t="s">
        <v>695</v>
      </c>
      <c r="K170" s="22" t="s">
        <v>70</v>
      </c>
      <c r="L170" s="22" t="s">
        <v>47</v>
      </c>
      <c r="M170" s="21" t="s">
        <v>603</v>
      </c>
      <c r="N170" s="36">
        <v>46001</v>
      </c>
      <c r="O170" s="36">
        <v>46002</v>
      </c>
      <c r="P170" s="21" t="s">
        <v>80</v>
      </c>
      <c r="Q170" s="37" t="s">
        <v>735</v>
      </c>
      <c r="R170" s="21" t="s">
        <v>790</v>
      </c>
      <c r="S170" s="21" t="s">
        <v>92</v>
      </c>
      <c r="T170" s="21" t="s">
        <v>95</v>
      </c>
      <c r="U170" s="21">
        <v>65</v>
      </c>
      <c r="V170" s="21" t="s">
        <v>736</v>
      </c>
      <c r="W170" s="21">
        <v>500094</v>
      </c>
      <c r="X170" s="21" t="s">
        <v>395</v>
      </c>
      <c r="Y170" s="21" t="s">
        <v>391</v>
      </c>
      <c r="Z170" s="22" t="s">
        <v>95</v>
      </c>
      <c r="AA170" s="22" t="s">
        <v>617</v>
      </c>
      <c r="AB170" s="22" t="s">
        <v>70</v>
      </c>
      <c r="AC170" s="22" t="s">
        <v>47</v>
      </c>
      <c r="AD170" s="22" t="s">
        <v>603</v>
      </c>
    </row>
    <row r="171" spans="1:30" x14ac:dyDescent="0.25">
      <c r="A171" s="19" t="s">
        <v>11</v>
      </c>
      <c r="B171" s="22" t="s">
        <v>907</v>
      </c>
      <c r="C171" s="21">
        <v>5424020670</v>
      </c>
      <c r="D171" s="22" t="s">
        <v>12</v>
      </c>
      <c r="E171" s="22" t="s">
        <v>103</v>
      </c>
      <c r="F171" s="21">
        <v>110457</v>
      </c>
      <c r="G171" s="22" t="s">
        <v>309</v>
      </c>
      <c r="H171" s="22" t="s">
        <v>302</v>
      </c>
      <c r="I171" s="21" t="s">
        <v>18</v>
      </c>
      <c r="J171" s="21" t="s">
        <v>695</v>
      </c>
      <c r="K171" s="22" t="s">
        <v>70</v>
      </c>
      <c r="L171" s="22" t="s">
        <v>47</v>
      </c>
      <c r="M171" s="21" t="s">
        <v>603</v>
      </c>
      <c r="N171" s="36">
        <v>46001</v>
      </c>
      <c r="O171" s="36">
        <v>46002</v>
      </c>
      <c r="P171" s="21" t="s">
        <v>80</v>
      </c>
      <c r="Q171" s="37" t="s">
        <v>735</v>
      </c>
      <c r="R171" s="21" t="s">
        <v>790</v>
      </c>
      <c r="S171" s="21" t="s">
        <v>92</v>
      </c>
      <c r="T171" s="21" t="s">
        <v>95</v>
      </c>
      <c r="U171" s="21">
        <v>100</v>
      </c>
      <c r="V171" s="21" t="s">
        <v>736</v>
      </c>
      <c r="W171" s="21">
        <v>500094</v>
      </c>
      <c r="X171" s="21" t="s">
        <v>395</v>
      </c>
      <c r="Y171" s="21" t="s">
        <v>391</v>
      </c>
      <c r="Z171" s="22" t="s">
        <v>95</v>
      </c>
      <c r="AA171" s="22" t="s">
        <v>617</v>
      </c>
      <c r="AB171" s="22" t="s">
        <v>70</v>
      </c>
      <c r="AC171" s="22" t="s">
        <v>47</v>
      </c>
      <c r="AD171" s="22" t="s">
        <v>603</v>
      </c>
    </row>
    <row r="172" spans="1:30" x14ac:dyDescent="0.25">
      <c r="A172" s="19" t="s">
        <v>11</v>
      </c>
      <c r="B172" s="22" t="s">
        <v>908</v>
      </c>
      <c r="C172" s="21">
        <v>5333780214</v>
      </c>
      <c r="D172" s="22" t="s">
        <v>14</v>
      </c>
      <c r="E172" s="22" t="s">
        <v>103</v>
      </c>
      <c r="F172" s="21">
        <v>111240</v>
      </c>
      <c r="G172" s="22" t="s">
        <v>286</v>
      </c>
      <c r="H172" s="22" t="s">
        <v>285</v>
      </c>
      <c r="I172" s="21" t="s">
        <v>18</v>
      </c>
      <c r="J172" s="21" t="s">
        <v>695</v>
      </c>
      <c r="K172" s="22" t="s">
        <v>64</v>
      </c>
      <c r="L172" s="21" t="s">
        <v>97</v>
      </c>
      <c r="M172" s="21" t="s">
        <v>734</v>
      </c>
      <c r="N172" s="36">
        <v>46000</v>
      </c>
      <c r="O172" s="36">
        <v>46002</v>
      </c>
      <c r="P172" s="21" t="s">
        <v>81</v>
      </c>
      <c r="Q172" s="37" t="s">
        <v>735</v>
      </c>
      <c r="R172" s="21" t="s">
        <v>790</v>
      </c>
      <c r="S172" s="21" t="s">
        <v>93</v>
      </c>
      <c r="T172" s="21" t="s">
        <v>95</v>
      </c>
      <c r="U172" s="21" t="s">
        <v>735</v>
      </c>
      <c r="V172" s="21" t="s">
        <v>736</v>
      </c>
      <c r="W172" s="21">
        <v>500140</v>
      </c>
      <c r="X172" s="21" t="s">
        <v>435</v>
      </c>
      <c r="Y172" s="21" t="s">
        <v>389</v>
      </c>
      <c r="Z172" s="22" t="s">
        <v>95</v>
      </c>
      <c r="AA172" s="22" t="s">
        <v>617</v>
      </c>
      <c r="AB172" s="22" t="s">
        <v>64</v>
      </c>
      <c r="AC172" s="22" t="s">
        <v>97</v>
      </c>
      <c r="AD172" s="22" t="s">
        <v>734</v>
      </c>
    </row>
    <row r="173" spans="1:30" x14ac:dyDescent="0.25">
      <c r="A173" s="19" t="s">
        <v>11</v>
      </c>
      <c r="B173" s="22" t="s">
        <v>909</v>
      </c>
      <c r="C173" s="21">
        <v>5372699911</v>
      </c>
      <c r="D173" s="22" t="s">
        <v>14</v>
      </c>
      <c r="E173" s="22" t="s">
        <v>103</v>
      </c>
      <c r="F173" s="21">
        <v>500195</v>
      </c>
      <c r="G173" s="22" t="s">
        <v>674</v>
      </c>
      <c r="H173" s="22" t="s">
        <v>389</v>
      </c>
      <c r="I173" s="21" t="s">
        <v>19</v>
      </c>
      <c r="J173" s="21" t="s">
        <v>695</v>
      </c>
      <c r="K173" s="22" t="s">
        <v>49</v>
      </c>
      <c r="L173" s="21" t="s">
        <v>41</v>
      </c>
      <c r="M173" s="21" t="s">
        <v>42</v>
      </c>
      <c r="N173" s="36">
        <v>46001</v>
      </c>
      <c r="O173" s="36">
        <v>46002</v>
      </c>
      <c r="P173" s="19" t="s">
        <v>79</v>
      </c>
      <c r="Q173" s="37" t="s">
        <v>735</v>
      </c>
      <c r="R173" s="21" t="s">
        <v>790</v>
      </c>
      <c r="S173" s="21" t="s">
        <v>92</v>
      </c>
      <c r="T173" s="21" t="s">
        <v>94</v>
      </c>
      <c r="U173" s="21">
        <v>0</v>
      </c>
      <c r="V173" s="21" t="s">
        <v>736</v>
      </c>
      <c r="W173" s="21">
        <v>500195</v>
      </c>
      <c r="X173" s="22" t="s">
        <v>674</v>
      </c>
      <c r="Y173" s="22" t="s">
        <v>389</v>
      </c>
      <c r="Z173" s="22" t="s">
        <v>94</v>
      </c>
      <c r="AA173" s="22" t="s">
        <v>616</v>
      </c>
      <c r="AB173" s="22" t="s">
        <v>49</v>
      </c>
      <c r="AC173" s="22" t="s">
        <v>41</v>
      </c>
      <c r="AD173" s="22" t="s">
        <v>42</v>
      </c>
    </row>
    <row r="174" spans="1:30" x14ac:dyDescent="0.25">
      <c r="A174" s="19" t="s">
        <v>11</v>
      </c>
      <c r="B174" s="22" t="s">
        <v>909</v>
      </c>
      <c r="C174" s="21">
        <v>5372699911</v>
      </c>
      <c r="D174" s="22" t="s">
        <v>14</v>
      </c>
      <c r="E174" s="22" t="s">
        <v>103</v>
      </c>
      <c r="F174" s="21">
        <v>500160</v>
      </c>
      <c r="G174" s="22" t="s">
        <v>367</v>
      </c>
      <c r="H174" s="22" t="s">
        <v>646</v>
      </c>
      <c r="I174" s="21" t="s">
        <v>19</v>
      </c>
      <c r="J174" s="21" t="s">
        <v>695</v>
      </c>
      <c r="K174" s="22" t="s">
        <v>49</v>
      </c>
      <c r="L174" s="21" t="s">
        <v>41</v>
      </c>
      <c r="M174" s="21" t="s">
        <v>42</v>
      </c>
      <c r="N174" s="36">
        <v>46001</v>
      </c>
      <c r="O174" s="36">
        <v>46002</v>
      </c>
      <c r="P174" s="19" t="s">
        <v>79</v>
      </c>
      <c r="Q174" s="37" t="s">
        <v>735</v>
      </c>
      <c r="R174" s="21" t="s">
        <v>790</v>
      </c>
      <c r="S174" s="21" t="s">
        <v>92</v>
      </c>
      <c r="T174" s="21" t="s">
        <v>94</v>
      </c>
      <c r="U174" s="21">
        <v>0</v>
      </c>
      <c r="V174" s="21" t="s">
        <v>736</v>
      </c>
      <c r="W174" s="21">
        <v>500160</v>
      </c>
      <c r="X174" s="22" t="s">
        <v>367</v>
      </c>
      <c r="Y174" s="22" t="s">
        <v>646</v>
      </c>
      <c r="Z174" s="22" t="s">
        <v>94</v>
      </c>
      <c r="AA174" s="22" t="s">
        <v>616</v>
      </c>
      <c r="AB174" s="22" t="s">
        <v>49</v>
      </c>
      <c r="AC174" s="22" t="s">
        <v>41</v>
      </c>
      <c r="AD174" s="22" t="s">
        <v>42</v>
      </c>
    </row>
    <row r="175" spans="1:30" x14ac:dyDescent="0.25">
      <c r="A175" s="19" t="s">
        <v>11</v>
      </c>
      <c r="B175" s="22" t="s">
        <v>910</v>
      </c>
      <c r="C175" s="27">
        <v>5457908639</v>
      </c>
      <c r="D175" s="22" t="s">
        <v>14</v>
      </c>
      <c r="E175" s="22" t="s">
        <v>103</v>
      </c>
      <c r="F175" s="27">
        <v>600184</v>
      </c>
      <c r="G175" s="22" t="s">
        <v>619</v>
      </c>
      <c r="H175" s="22" t="s">
        <v>619</v>
      </c>
      <c r="I175" s="27" t="s">
        <v>20</v>
      </c>
      <c r="J175" s="22" t="s">
        <v>99</v>
      </c>
      <c r="K175" s="22" t="s">
        <v>49</v>
      </c>
      <c r="L175" s="27" t="s">
        <v>97</v>
      </c>
      <c r="M175" s="27" t="s">
        <v>22</v>
      </c>
      <c r="N175" s="36">
        <v>46000</v>
      </c>
      <c r="O175" s="36">
        <v>46002</v>
      </c>
      <c r="P175" s="21" t="s">
        <v>81</v>
      </c>
      <c r="Q175" s="37" t="s">
        <v>735</v>
      </c>
      <c r="R175" s="21" t="s">
        <v>790</v>
      </c>
      <c r="S175" s="21" t="s">
        <v>93</v>
      </c>
      <c r="T175" s="21" t="s">
        <v>95</v>
      </c>
      <c r="U175" s="21" t="s">
        <v>735</v>
      </c>
      <c r="V175" s="27" t="s">
        <v>736</v>
      </c>
      <c r="W175" s="21">
        <v>500091</v>
      </c>
      <c r="X175" s="27" t="s">
        <v>400</v>
      </c>
      <c r="Y175" s="27" t="s">
        <v>391</v>
      </c>
      <c r="Z175" s="22" t="s">
        <v>95</v>
      </c>
      <c r="AA175" s="22" t="s">
        <v>617</v>
      </c>
      <c r="AB175" s="22" t="s">
        <v>49</v>
      </c>
      <c r="AC175" s="22" t="s">
        <v>97</v>
      </c>
      <c r="AD175" s="22" t="s">
        <v>22</v>
      </c>
    </row>
    <row r="176" spans="1:30" x14ac:dyDescent="0.25">
      <c r="A176" s="19" t="s">
        <v>11</v>
      </c>
      <c r="B176" s="22" t="s">
        <v>911</v>
      </c>
      <c r="C176" s="21">
        <v>5302424478</v>
      </c>
      <c r="D176" s="22" t="s">
        <v>14</v>
      </c>
      <c r="E176" s="22" t="s">
        <v>103</v>
      </c>
      <c r="F176" s="21">
        <v>600787</v>
      </c>
      <c r="G176" s="22" t="s">
        <v>525</v>
      </c>
      <c r="H176" s="22" t="s">
        <v>619</v>
      </c>
      <c r="I176" s="27" t="s">
        <v>20</v>
      </c>
      <c r="J176" s="21" t="s">
        <v>695</v>
      </c>
      <c r="K176" s="22" t="s">
        <v>49</v>
      </c>
      <c r="L176" s="21" t="s">
        <v>97</v>
      </c>
      <c r="M176" s="21" t="s">
        <v>734</v>
      </c>
      <c r="N176" s="36">
        <v>46001</v>
      </c>
      <c r="O176" s="36">
        <v>46002</v>
      </c>
      <c r="P176" s="21" t="s">
        <v>1145</v>
      </c>
      <c r="Q176" s="37" t="s">
        <v>735</v>
      </c>
      <c r="R176" s="21" t="s">
        <v>790</v>
      </c>
      <c r="S176" s="21" t="s">
        <v>92</v>
      </c>
      <c r="T176" s="21" t="s">
        <v>94</v>
      </c>
      <c r="U176" s="21">
        <v>0</v>
      </c>
      <c r="V176" s="21" t="s">
        <v>736</v>
      </c>
      <c r="W176" s="21">
        <v>600787</v>
      </c>
      <c r="X176" s="22" t="s">
        <v>525</v>
      </c>
      <c r="Y176" s="22" t="s">
        <v>619</v>
      </c>
      <c r="Z176" s="22" t="s">
        <v>94</v>
      </c>
      <c r="AA176" s="22" t="s">
        <v>616</v>
      </c>
      <c r="AB176" s="22" t="s">
        <v>49</v>
      </c>
      <c r="AC176" s="22" t="s">
        <v>97</v>
      </c>
      <c r="AD176" s="22" t="s">
        <v>734</v>
      </c>
    </row>
    <row r="177" spans="1:30" x14ac:dyDescent="0.25">
      <c r="A177" s="19" t="s">
        <v>11</v>
      </c>
      <c r="B177" s="22" t="s">
        <v>912</v>
      </c>
      <c r="C177" s="21">
        <v>5304059925</v>
      </c>
      <c r="D177" s="22" t="s">
        <v>14</v>
      </c>
      <c r="E177" s="22" t="s">
        <v>103</v>
      </c>
      <c r="F177" s="21">
        <v>500153</v>
      </c>
      <c r="G177" s="22" t="s">
        <v>362</v>
      </c>
      <c r="H177" s="22" t="s">
        <v>646</v>
      </c>
      <c r="I177" s="21" t="s">
        <v>19</v>
      </c>
      <c r="J177" s="21" t="s">
        <v>695</v>
      </c>
      <c r="K177" s="22" t="s">
        <v>49</v>
      </c>
      <c r="L177" s="21" t="s">
        <v>97</v>
      </c>
      <c r="M177" s="21" t="s">
        <v>734</v>
      </c>
      <c r="N177" s="36">
        <v>46001</v>
      </c>
      <c r="O177" s="36">
        <v>46002</v>
      </c>
      <c r="P177" s="19" t="s">
        <v>79</v>
      </c>
      <c r="Q177" s="37" t="s">
        <v>735</v>
      </c>
      <c r="R177" s="21" t="s">
        <v>790</v>
      </c>
      <c r="S177" s="21" t="s">
        <v>92</v>
      </c>
      <c r="T177" s="21" t="s">
        <v>94</v>
      </c>
      <c r="U177" s="21">
        <v>0</v>
      </c>
      <c r="V177" s="21" t="s">
        <v>736</v>
      </c>
      <c r="W177" s="21">
        <v>500113</v>
      </c>
      <c r="X177" s="21" t="s">
        <v>412</v>
      </c>
      <c r="Y177" s="21" t="s">
        <v>391</v>
      </c>
      <c r="Z177" s="22" t="s">
        <v>95</v>
      </c>
      <c r="AA177" s="22" t="s">
        <v>617</v>
      </c>
      <c r="AB177" s="22" t="s">
        <v>49</v>
      </c>
      <c r="AC177" s="22" t="s">
        <v>97</v>
      </c>
      <c r="AD177" s="22" t="s">
        <v>734</v>
      </c>
    </row>
    <row r="178" spans="1:30" x14ac:dyDescent="0.25">
      <c r="A178" s="19" t="s">
        <v>11</v>
      </c>
      <c r="B178" s="22" t="s">
        <v>913</v>
      </c>
      <c r="C178" s="28">
        <v>5352484818</v>
      </c>
      <c r="D178" s="22" t="s">
        <v>14</v>
      </c>
      <c r="E178" s="22" t="s">
        <v>103</v>
      </c>
      <c r="F178" s="28">
        <v>500083</v>
      </c>
      <c r="G178" s="28" t="s">
        <v>431</v>
      </c>
      <c r="H178" s="22" t="s">
        <v>392</v>
      </c>
      <c r="I178" s="21" t="s">
        <v>19</v>
      </c>
      <c r="J178" s="21" t="s">
        <v>695</v>
      </c>
      <c r="K178" s="22" t="s">
        <v>50</v>
      </c>
      <c r="L178" s="27" t="s">
        <v>97</v>
      </c>
      <c r="M178" s="21" t="s">
        <v>26</v>
      </c>
      <c r="N178" s="36">
        <v>46001</v>
      </c>
      <c r="O178" s="36">
        <v>46002</v>
      </c>
      <c r="P178" s="21" t="s">
        <v>81</v>
      </c>
      <c r="Q178" s="37" t="s">
        <v>735</v>
      </c>
      <c r="R178" s="21" t="s">
        <v>790</v>
      </c>
      <c r="S178" s="21" t="s">
        <v>92</v>
      </c>
      <c r="T178" s="21" t="s">
        <v>95</v>
      </c>
      <c r="U178" s="21">
        <v>100</v>
      </c>
      <c r="V178" s="21" t="s">
        <v>736</v>
      </c>
      <c r="W178" s="21">
        <v>500184</v>
      </c>
      <c r="X178" s="21" t="s">
        <v>663</v>
      </c>
      <c r="Y178" s="21" t="s">
        <v>323</v>
      </c>
      <c r="Z178" s="22" t="s">
        <v>94</v>
      </c>
      <c r="AA178" s="22" t="s">
        <v>616</v>
      </c>
      <c r="AB178" s="22" t="s">
        <v>50</v>
      </c>
      <c r="AC178" s="22" t="s">
        <v>97</v>
      </c>
      <c r="AD178" s="22" t="s">
        <v>26</v>
      </c>
    </row>
    <row r="179" spans="1:30" x14ac:dyDescent="0.25">
      <c r="A179" s="19" t="s">
        <v>11</v>
      </c>
      <c r="B179" s="22" t="s">
        <v>914</v>
      </c>
      <c r="C179" s="28">
        <v>5347955724</v>
      </c>
      <c r="D179" s="22" t="s">
        <v>14</v>
      </c>
      <c r="E179" s="22" t="s">
        <v>103</v>
      </c>
      <c r="F179" s="28">
        <v>500188</v>
      </c>
      <c r="G179" s="22" t="s">
        <v>667</v>
      </c>
      <c r="H179" s="22" t="s">
        <v>323</v>
      </c>
      <c r="I179" s="21" t="s">
        <v>19</v>
      </c>
      <c r="J179" s="21" t="s">
        <v>695</v>
      </c>
      <c r="K179" s="22" t="s">
        <v>59</v>
      </c>
      <c r="L179" s="21" t="s">
        <v>97</v>
      </c>
      <c r="M179" s="21" t="s">
        <v>734</v>
      </c>
      <c r="N179" s="36">
        <v>46002</v>
      </c>
      <c r="O179" s="36">
        <v>46002</v>
      </c>
      <c r="P179" s="19" t="s">
        <v>79</v>
      </c>
      <c r="Q179" s="37" t="s">
        <v>735</v>
      </c>
      <c r="R179" s="21" t="s">
        <v>790</v>
      </c>
      <c r="S179" s="21" t="s">
        <v>92</v>
      </c>
      <c r="T179" s="21" t="s">
        <v>94</v>
      </c>
      <c r="U179" s="21">
        <v>0</v>
      </c>
      <c r="V179" s="21" t="s">
        <v>736</v>
      </c>
      <c r="W179" s="21">
        <v>500124</v>
      </c>
      <c r="X179" s="21" t="s">
        <v>342</v>
      </c>
      <c r="Y179" s="21" t="s">
        <v>323</v>
      </c>
      <c r="Z179" s="22" t="s">
        <v>94</v>
      </c>
      <c r="AA179" s="22" t="s">
        <v>616</v>
      </c>
      <c r="AB179" s="22" t="s">
        <v>59</v>
      </c>
      <c r="AC179" s="22" t="s">
        <v>97</v>
      </c>
      <c r="AD179" s="22" t="s">
        <v>734</v>
      </c>
    </row>
    <row r="180" spans="1:30" x14ac:dyDescent="0.25">
      <c r="A180" s="19" t="s">
        <v>11</v>
      </c>
      <c r="B180" s="22" t="s">
        <v>915</v>
      </c>
      <c r="C180" s="28">
        <v>5309621429</v>
      </c>
      <c r="D180" s="22" t="s">
        <v>13</v>
      </c>
      <c r="E180" s="22" t="s">
        <v>104</v>
      </c>
      <c r="F180" s="28">
        <v>600609</v>
      </c>
      <c r="G180" s="22" t="s">
        <v>476</v>
      </c>
      <c r="H180" s="22" t="s">
        <v>471</v>
      </c>
      <c r="I180" s="27" t="s">
        <v>20</v>
      </c>
      <c r="J180" s="21" t="s">
        <v>695</v>
      </c>
      <c r="K180" s="22" t="s">
        <v>71</v>
      </c>
      <c r="L180" s="21" t="s">
        <v>97</v>
      </c>
      <c r="M180" s="21" t="s">
        <v>734</v>
      </c>
      <c r="N180" s="36">
        <v>45994</v>
      </c>
      <c r="O180" s="36">
        <v>46003</v>
      </c>
      <c r="P180" s="21" t="s">
        <v>1145</v>
      </c>
      <c r="Q180" s="37" t="s">
        <v>735</v>
      </c>
      <c r="R180" s="21" t="s">
        <v>790</v>
      </c>
      <c r="S180" s="21" t="s">
        <v>92</v>
      </c>
      <c r="T180" s="21" t="s">
        <v>94</v>
      </c>
      <c r="U180" s="21">
        <v>0</v>
      </c>
      <c r="V180" s="21" t="s">
        <v>736</v>
      </c>
      <c r="W180" s="21">
        <v>600396</v>
      </c>
      <c r="X180" s="21" t="s">
        <v>536</v>
      </c>
      <c r="Y180" s="21" t="s">
        <v>529</v>
      </c>
      <c r="Z180" s="22" t="s">
        <v>95</v>
      </c>
      <c r="AA180" s="22" t="s">
        <v>617</v>
      </c>
      <c r="AB180" s="22" t="s">
        <v>71</v>
      </c>
      <c r="AC180" s="22" t="s">
        <v>97</v>
      </c>
      <c r="AD180" s="22" t="s">
        <v>734</v>
      </c>
    </row>
    <row r="181" spans="1:30" x14ac:dyDescent="0.25">
      <c r="A181" s="19" t="s">
        <v>11</v>
      </c>
      <c r="B181" s="22" t="s">
        <v>915</v>
      </c>
      <c r="C181" s="28">
        <v>5309621429</v>
      </c>
      <c r="D181" s="22" t="s">
        <v>13</v>
      </c>
      <c r="E181" s="22" t="s">
        <v>104</v>
      </c>
      <c r="F181" s="28">
        <v>600581</v>
      </c>
      <c r="G181" s="22" t="s">
        <v>479</v>
      </c>
      <c r="H181" s="22" t="s">
        <v>471</v>
      </c>
      <c r="I181" s="27" t="s">
        <v>20</v>
      </c>
      <c r="J181" s="21" t="s">
        <v>695</v>
      </c>
      <c r="K181" s="22" t="s">
        <v>71</v>
      </c>
      <c r="L181" s="21" t="s">
        <v>97</v>
      </c>
      <c r="M181" s="21" t="s">
        <v>734</v>
      </c>
      <c r="N181" s="36">
        <v>45994</v>
      </c>
      <c r="O181" s="36">
        <v>46003</v>
      </c>
      <c r="P181" s="21" t="s">
        <v>81</v>
      </c>
      <c r="Q181" s="37" t="s">
        <v>735</v>
      </c>
      <c r="R181" s="21" t="s">
        <v>790</v>
      </c>
      <c r="S181" s="21" t="s">
        <v>92</v>
      </c>
      <c r="T181" s="21" t="s">
        <v>95</v>
      </c>
      <c r="U181" s="21">
        <v>100</v>
      </c>
      <c r="V181" s="21" t="s">
        <v>736</v>
      </c>
      <c r="W181" s="21">
        <v>600396</v>
      </c>
      <c r="X181" s="21" t="s">
        <v>536</v>
      </c>
      <c r="Y181" s="21" t="s">
        <v>529</v>
      </c>
      <c r="Z181" s="22" t="s">
        <v>95</v>
      </c>
      <c r="AA181" s="22" t="s">
        <v>617</v>
      </c>
      <c r="AB181" s="22" t="s">
        <v>71</v>
      </c>
      <c r="AC181" s="22" t="s">
        <v>97</v>
      </c>
      <c r="AD181" s="22" t="s">
        <v>734</v>
      </c>
    </row>
    <row r="182" spans="1:30" x14ac:dyDescent="0.25">
      <c r="A182" s="19" t="s">
        <v>11</v>
      </c>
      <c r="B182" s="22" t="s">
        <v>915</v>
      </c>
      <c r="C182" s="28">
        <v>5309621429</v>
      </c>
      <c r="D182" s="22" t="s">
        <v>13</v>
      </c>
      <c r="E182" s="22" t="s">
        <v>104</v>
      </c>
      <c r="F182" s="28">
        <v>600538</v>
      </c>
      <c r="G182" s="22" t="s">
        <v>462</v>
      </c>
      <c r="H182" s="22" t="s">
        <v>458</v>
      </c>
      <c r="I182" s="27" t="s">
        <v>20</v>
      </c>
      <c r="J182" s="21" t="s">
        <v>695</v>
      </c>
      <c r="K182" s="22" t="s">
        <v>71</v>
      </c>
      <c r="L182" s="21" t="s">
        <v>97</v>
      </c>
      <c r="M182" s="21" t="s">
        <v>734</v>
      </c>
      <c r="N182" s="36">
        <v>45996</v>
      </c>
      <c r="O182" s="36">
        <v>46003</v>
      </c>
      <c r="P182" s="21" t="s">
        <v>81</v>
      </c>
      <c r="Q182" s="37" t="s">
        <v>735</v>
      </c>
      <c r="R182" s="21" t="s">
        <v>790</v>
      </c>
      <c r="S182" s="21" t="s">
        <v>92</v>
      </c>
      <c r="T182" s="21" t="s">
        <v>95</v>
      </c>
      <c r="U182" s="21">
        <v>100</v>
      </c>
      <c r="V182" s="21" t="s">
        <v>736</v>
      </c>
      <c r="W182" s="21">
        <v>600396</v>
      </c>
      <c r="X182" s="21" t="s">
        <v>536</v>
      </c>
      <c r="Y182" s="21" t="s">
        <v>529</v>
      </c>
      <c r="Z182" s="22" t="s">
        <v>95</v>
      </c>
      <c r="AA182" s="22" t="s">
        <v>617</v>
      </c>
      <c r="AB182" s="22" t="s">
        <v>71</v>
      </c>
      <c r="AC182" s="22" t="s">
        <v>97</v>
      </c>
      <c r="AD182" s="22" t="s">
        <v>734</v>
      </c>
    </row>
    <row r="183" spans="1:30" x14ac:dyDescent="0.25">
      <c r="A183" s="19" t="s">
        <v>11</v>
      </c>
      <c r="B183" s="22" t="s">
        <v>916</v>
      </c>
      <c r="C183" s="28">
        <v>5374030870</v>
      </c>
      <c r="D183" s="22" t="s">
        <v>14</v>
      </c>
      <c r="E183" s="22" t="s">
        <v>103</v>
      </c>
      <c r="F183" s="21">
        <v>600189</v>
      </c>
      <c r="G183" s="22" t="s">
        <v>645</v>
      </c>
      <c r="H183" s="22" t="s">
        <v>645</v>
      </c>
      <c r="I183" s="21" t="s">
        <v>19</v>
      </c>
      <c r="J183" s="22" t="s">
        <v>99</v>
      </c>
      <c r="K183" s="22" t="s">
        <v>49</v>
      </c>
      <c r="L183" s="21" t="s">
        <v>97</v>
      </c>
      <c r="M183" s="21" t="s">
        <v>734</v>
      </c>
      <c r="N183" s="36">
        <v>46002</v>
      </c>
      <c r="O183" s="36">
        <v>46003</v>
      </c>
      <c r="P183" s="21" t="s">
        <v>81</v>
      </c>
      <c r="Q183" s="37" t="s">
        <v>735</v>
      </c>
      <c r="R183" s="21" t="s">
        <v>790</v>
      </c>
      <c r="S183" s="21" t="s">
        <v>93</v>
      </c>
      <c r="T183" s="21" t="s">
        <v>95</v>
      </c>
      <c r="U183" s="21" t="s">
        <v>735</v>
      </c>
      <c r="V183" s="21" t="s">
        <v>736</v>
      </c>
      <c r="W183" s="21">
        <v>600612</v>
      </c>
      <c r="X183" s="21" t="s">
        <v>503</v>
      </c>
      <c r="Y183" s="21" t="s">
        <v>458</v>
      </c>
      <c r="Z183" s="22" t="s">
        <v>95</v>
      </c>
      <c r="AA183" s="22" t="s">
        <v>617</v>
      </c>
      <c r="AB183" s="22" t="s">
        <v>49</v>
      </c>
      <c r="AC183" s="22" t="s">
        <v>97</v>
      </c>
      <c r="AD183" s="22" t="s">
        <v>734</v>
      </c>
    </row>
    <row r="184" spans="1:30" x14ac:dyDescent="0.25">
      <c r="A184" s="19" t="s">
        <v>11</v>
      </c>
      <c r="B184" s="22" t="s">
        <v>917</v>
      </c>
      <c r="C184" s="28">
        <v>5377885810</v>
      </c>
      <c r="D184" s="22" t="s">
        <v>14</v>
      </c>
      <c r="E184" s="22" t="s">
        <v>103</v>
      </c>
      <c r="F184" s="28">
        <v>500136</v>
      </c>
      <c r="G184" s="28" t="s">
        <v>445</v>
      </c>
      <c r="H184" s="22" t="s">
        <v>389</v>
      </c>
      <c r="I184" s="21" t="s">
        <v>19</v>
      </c>
      <c r="J184" s="21" t="s">
        <v>695</v>
      </c>
      <c r="K184" s="22" t="s">
        <v>49</v>
      </c>
      <c r="L184" s="27" t="s">
        <v>96</v>
      </c>
      <c r="M184" s="21" t="s">
        <v>40</v>
      </c>
      <c r="N184" s="36">
        <v>46002</v>
      </c>
      <c r="O184" s="36">
        <v>46003</v>
      </c>
      <c r="P184" s="19" t="s">
        <v>79</v>
      </c>
      <c r="Q184" s="37" t="s">
        <v>735</v>
      </c>
      <c r="R184" s="21" t="s">
        <v>790</v>
      </c>
      <c r="S184" s="21" t="s">
        <v>92</v>
      </c>
      <c r="T184" s="21" t="s">
        <v>94</v>
      </c>
      <c r="U184" s="21">
        <v>0</v>
      </c>
      <c r="V184" s="21" t="s">
        <v>736</v>
      </c>
      <c r="W184" s="28">
        <v>500136</v>
      </c>
      <c r="X184" s="28" t="s">
        <v>445</v>
      </c>
      <c r="Y184" s="22" t="s">
        <v>389</v>
      </c>
      <c r="Z184" s="22" t="s">
        <v>94</v>
      </c>
      <c r="AA184" s="22" t="s">
        <v>616</v>
      </c>
      <c r="AB184" s="22" t="s">
        <v>49</v>
      </c>
      <c r="AC184" s="22" t="s">
        <v>96</v>
      </c>
      <c r="AD184" s="22" t="s">
        <v>40</v>
      </c>
    </row>
    <row r="185" spans="1:30" x14ac:dyDescent="0.25">
      <c r="A185" s="19" t="s">
        <v>11</v>
      </c>
      <c r="B185" s="22" t="s">
        <v>918</v>
      </c>
      <c r="C185" s="28">
        <v>5305525903</v>
      </c>
      <c r="D185" s="22" t="s">
        <v>12</v>
      </c>
      <c r="E185" s="22" t="s">
        <v>103</v>
      </c>
      <c r="F185" s="28">
        <v>500153</v>
      </c>
      <c r="G185" s="22" t="s">
        <v>362</v>
      </c>
      <c r="H185" s="22" t="s">
        <v>646</v>
      </c>
      <c r="I185" s="21" t="s">
        <v>19</v>
      </c>
      <c r="J185" s="21" t="s">
        <v>695</v>
      </c>
      <c r="K185" s="22" t="s">
        <v>50</v>
      </c>
      <c r="L185" s="21" t="s">
        <v>41</v>
      </c>
      <c r="M185" s="21" t="s">
        <v>44</v>
      </c>
      <c r="N185" s="36">
        <v>46001</v>
      </c>
      <c r="O185" s="36">
        <v>46003</v>
      </c>
      <c r="P185" s="19" t="s">
        <v>79</v>
      </c>
      <c r="Q185" s="37" t="s">
        <v>735</v>
      </c>
      <c r="R185" s="21" t="s">
        <v>790</v>
      </c>
      <c r="S185" s="21" t="s">
        <v>92</v>
      </c>
      <c r="T185" s="21" t="s">
        <v>94</v>
      </c>
      <c r="U185" s="21">
        <v>0</v>
      </c>
      <c r="V185" s="21" t="s">
        <v>736</v>
      </c>
      <c r="W185" s="21">
        <v>500078</v>
      </c>
      <c r="X185" s="21" t="s">
        <v>428</v>
      </c>
      <c r="Y185" s="21" t="s">
        <v>392</v>
      </c>
      <c r="Z185" s="22" t="s">
        <v>95</v>
      </c>
      <c r="AA185" s="22" t="s">
        <v>617</v>
      </c>
      <c r="AB185" s="22" t="s">
        <v>50</v>
      </c>
      <c r="AC185" s="22" t="s">
        <v>41</v>
      </c>
      <c r="AD185" s="22" t="s">
        <v>44</v>
      </c>
    </row>
    <row r="186" spans="1:30" x14ac:dyDescent="0.25">
      <c r="A186" s="19" t="s">
        <v>9</v>
      </c>
      <c r="B186" s="22" t="s">
        <v>919</v>
      </c>
      <c r="C186" s="28">
        <v>5437622066</v>
      </c>
      <c r="D186" s="22" t="s">
        <v>14</v>
      </c>
      <c r="E186" s="22" t="s">
        <v>103</v>
      </c>
      <c r="F186" s="28">
        <v>210452</v>
      </c>
      <c r="G186" s="22" t="s">
        <v>172</v>
      </c>
      <c r="H186" s="22" t="s">
        <v>162</v>
      </c>
      <c r="I186" s="21" t="s">
        <v>18</v>
      </c>
      <c r="J186" s="21" t="s">
        <v>695</v>
      </c>
      <c r="K186" s="22" t="s">
        <v>49</v>
      </c>
      <c r="L186" s="21" t="s">
        <v>97</v>
      </c>
      <c r="M186" s="21" t="s">
        <v>734</v>
      </c>
      <c r="N186" s="36">
        <v>45998</v>
      </c>
      <c r="O186" s="36">
        <v>46003</v>
      </c>
      <c r="P186" s="21" t="s">
        <v>1145</v>
      </c>
      <c r="Q186" s="37" t="s">
        <v>735</v>
      </c>
      <c r="R186" s="21" t="s">
        <v>790</v>
      </c>
      <c r="S186" s="21" t="s">
        <v>92</v>
      </c>
      <c r="T186" s="21" t="s">
        <v>94</v>
      </c>
      <c r="U186" s="21">
        <v>0</v>
      </c>
      <c r="V186" s="21" t="s">
        <v>736</v>
      </c>
      <c r="W186" s="19">
        <v>888888</v>
      </c>
      <c r="X186" s="19" t="s">
        <v>9</v>
      </c>
      <c r="Y186" s="19" t="s">
        <v>9</v>
      </c>
      <c r="Z186" s="19" t="s">
        <v>9</v>
      </c>
      <c r="AA186" s="19" t="s">
        <v>9</v>
      </c>
      <c r="AB186" s="19" t="s">
        <v>49</v>
      </c>
      <c r="AC186" s="19" t="s">
        <v>97</v>
      </c>
      <c r="AD186" s="19" t="s">
        <v>734</v>
      </c>
    </row>
    <row r="187" spans="1:30" x14ac:dyDescent="0.25">
      <c r="A187" s="19" t="s">
        <v>9</v>
      </c>
      <c r="B187" s="22" t="s">
        <v>919</v>
      </c>
      <c r="C187" s="28">
        <v>5437622066</v>
      </c>
      <c r="D187" s="22" t="s">
        <v>14</v>
      </c>
      <c r="E187" s="22" t="s">
        <v>103</v>
      </c>
      <c r="F187" s="28">
        <v>500066</v>
      </c>
      <c r="G187" s="22" t="s">
        <v>418</v>
      </c>
      <c r="H187" s="22" t="s">
        <v>392</v>
      </c>
      <c r="I187" s="21" t="s">
        <v>19</v>
      </c>
      <c r="J187" s="21" t="s">
        <v>695</v>
      </c>
      <c r="K187" s="22" t="s">
        <v>49</v>
      </c>
      <c r="L187" s="21" t="s">
        <v>97</v>
      </c>
      <c r="M187" s="21" t="s">
        <v>734</v>
      </c>
      <c r="N187" s="36">
        <v>45999</v>
      </c>
      <c r="O187" s="36">
        <v>46003</v>
      </c>
      <c r="P187" s="21" t="s">
        <v>1145</v>
      </c>
      <c r="Q187" s="37" t="s">
        <v>735</v>
      </c>
      <c r="R187" s="21" t="s">
        <v>790</v>
      </c>
      <c r="S187" s="21" t="s">
        <v>92</v>
      </c>
      <c r="T187" s="21" t="s">
        <v>94</v>
      </c>
      <c r="U187" s="21">
        <v>0</v>
      </c>
      <c r="V187" s="21" t="s">
        <v>736</v>
      </c>
      <c r="W187" s="19">
        <v>888888</v>
      </c>
      <c r="X187" s="19" t="s">
        <v>9</v>
      </c>
      <c r="Y187" s="19" t="s">
        <v>9</v>
      </c>
      <c r="Z187" s="19" t="s">
        <v>9</v>
      </c>
      <c r="AA187" s="19" t="s">
        <v>9</v>
      </c>
      <c r="AB187" s="19" t="s">
        <v>49</v>
      </c>
      <c r="AC187" s="19" t="s">
        <v>97</v>
      </c>
      <c r="AD187" s="19" t="s">
        <v>734</v>
      </c>
    </row>
    <row r="188" spans="1:30" x14ac:dyDescent="0.25">
      <c r="A188" s="19" t="s">
        <v>11</v>
      </c>
      <c r="B188" s="22" t="s">
        <v>920</v>
      </c>
      <c r="C188" s="28">
        <v>5469537993</v>
      </c>
      <c r="D188" s="22" t="s">
        <v>14</v>
      </c>
      <c r="E188" s="22" t="s">
        <v>103</v>
      </c>
      <c r="F188" s="28">
        <v>500108</v>
      </c>
      <c r="G188" s="22" t="s">
        <v>408</v>
      </c>
      <c r="H188" s="22" t="s">
        <v>391</v>
      </c>
      <c r="I188" s="21" t="s">
        <v>19</v>
      </c>
      <c r="J188" s="21" t="s">
        <v>695</v>
      </c>
      <c r="K188" s="22" t="s">
        <v>49</v>
      </c>
      <c r="L188" s="21" t="s">
        <v>97</v>
      </c>
      <c r="M188" s="21" t="s">
        <v>734</v>
      </c>
      <c r="N188" s="36">
        <v>46003</v>
      </c>
      <c r="O188" s="36">
        <v>46006</v>
      </c>
      <c r="P188" s="21" t="s">
        <v>81</v>
      </c>
      <c r="Q188" s="37" t="s">
        <v>735</v>
      </c>
      <c r="R188" s="21" t="s">
        <v>790</v>
      </c>
      <c r="S188" s="21" t="s">
        <v>92</v>
      </c>
      <c r="T188" s="21" t="s">
        <v>95</v>
      </c>
      <c r="U188" s="21">
        <v>100</v>
      </c>
      <c r="V188" s="21" t="s">
        <v>736</v>
      </c>
      <c r="W188" s="28">
        <v>500108</v>
      </c>
      <c r="X188" s="22" t="s">
        <v>408</v>
      </c>
      <c r="Y188" s="22" t="s">
        <v>391</v>
      </c>
      <c r="Z188" s="22" t="s">
        <v>94</v>
      </c>
      <c r="AA188" s="22" t="s">
        <v>616</v>
      </c>
      <c r="AB188" s="22" t="s">
        <v>49</v>
      </c>
      <c r="AC188" s="22" t="s">
        <v>97</v>
      </c>
      <c r="AD188" s="22" t="s">
        <v>734</v>
      </c>
    </row>
    <row r="189" spans="1:30" x14ac:dyDescent="0.25">
      <c r="A189" s="19" t="s">
        <v>11</v>
      </c>
      <c r="B189" s="28" t="s">
        <v>921</v>
      </c>
      <c r="C189" s="28">
        <v>5321559995</v>
      </c>
      <c r="D189" s="22" t="s">
        <v>14</v>
      </c>
      <c r="E189" s="22" t="s">
        <v>103</v>
      </c>
      <c r="F189" s="28">
        <v>500023</v>
      </c>
      <c r="G189" s="28" t="s">
        <v>331</v>
      </c>
      <c r="H189" s="22" t="s">
        <v>609</v>
      </c>
      <c r="I189" s="21" t="s">
        <v>19</v>
      </c>
      <c r="J189" s="21" t="s">
        <v>695</v>
      </c>
      <c r="K189" s="22" t="s">
        <v>59</v>
      </c>
      <c r="L189" s="21" t="s">
        <v>97</v>
      </c>
      <c r="M189" s="21" t="s">
        <v>734</v>
      </c>
      <c r="N189" s="36">
        <v>46003</v>
      </c>
      <c r="O189" s="36">
        <v>46006</v>
      </c>
      <c r="P189" s="21" t="s">
        <v>1145</v>
      </c>
      <c r="Q189" s="37" t="s">
        <v>735</v>
      </c>
      <c r="R189" s="21" t="s">
        <v>790</v>
      </c>
      <c r="S189" s="21" t="s">
        <v>92</v>
      </c>
      <c r="T189" s="21" t="s">
        <v>94</v>
      </c>
      <c r="U189" s="21">
        <v>0</v>
      </c>
      <c r="V189" s="21" t="s">
        <v>736</v>
      </c>
      <c r="W189" s="21">
        <v>600617</v>
      </c>
      <c r="X189" s="21" t="s">
        <v>937</v>
      </c>
      <c r="Y189" s="21" t="s">
        <v>548</v>
      </c>
      <c r="Z189" s="22" t="s">
        <v>94</v>
      </c>
      <c r="AA189" s="22" t="s">
        <v>616</v>
      </c>
      <c r="AB189" s="22" t="s">
        <v>59</v>
      </c>
      <c r="AC189" s="22" t="s">
        <v>97</v>
      </c>
      <c r="AD189" s="22" t="s">
        <v>734</v>
      </c>
    </row>
    <row r="190" spans="1:30" x14ac:dyDescent="0.25">
      <c r="A190" s="19" t="s">
        <v>11</v>
      </c>
      <c r="B190" s="28" t="s">
        <v>921</v>
      </c>
      <c r="C190" s="28">
        <v>5321559995</v>
      </c>
      <c r="D190" s="22" t="s">
        <v>14</v>
      </c>
      <c r="E190" s="22" t="s">
        <v>103</v>
      </c>
      <c r="F190" s="28">
        <v>500034</v>
      </c>
      <c r="G190" s="28" t="s">
        <v>335</v>
      </c>
      <c r="H190" s="22" t="s">
        <v>609</v>
      </c>
      <c r="I190" s="21" t="s">
        <v>19</v>
      </c>
      <c r="J190" s="21" t="s">
        <v>695</v>
      </c>
      <c r="K190" s="22" t="s">
        <v>59</v>
      </c>
      <c r="L190" s="21" t="s">
        <v>97</v>
      </c>
      <c r="M190" s="21" t="s">
        <v>734</v>
      </c>
      <c r="N190" s="36">
        <v>46003</v>
      </c>
      <c r="O190" s="36">
        <v>46006</v>
      </c>
      <c r="P190" s="21" t="s">
        <v>1145</v>
      </c>
      <c r="Q190" s="37" t="s">
        <v>735</v>
      </c>
      <c r="R190" s="21" t="s">
        <v>790</v>
      </c>
      <c r="S190" s="21" t="s">
        <v>92</v>
      </c>
      <c r="T190" s="21" t="s">
        <v>94</v>
      </c>
      <c r="U190" s="21">
        <v>0</v>
      </c>
      <c r="V190" s="21" t="s">
        <v>736</v>
      </c>
      <c r="W190" s="21">
        <v>600617</v>
      </c>
      <c r="X190" s="21" t="s">
        <v>937</v>
      </c>
      <c r="Y190" s="21" t="s">
        <v>548</v>
      </c>
      <c r="Z190" s="22" t="s">
        <v>94</v>
      </c>
      <c r="AA190" s="22" t="s">
        <v>616</v>
      </c>
      <c r="AB190" s="22" t="s">
        <v>59</v>
      </c>
      <c r="AC190" s="22" t="s">
        <v>97</v>
      </c>
      <c r="AD190" s="22" t="s">
        <v>734</v>
      </c>
    </row>
    <row r="191" spans="1:30" x14ac:dyDescent="0.25">
      <c r="A191" s="19" t="s">
        <v>11</v>
      </c>
      <c r="B191" s="22" t="s">
        <v>922</v>
      </c>
      <c r="C191" s="28">
        <v>5516392405</v>
      </c>
      <c r="D191" s="22" t="s">
        <v>14</v>
      </c>
      <c r="E191" s="22" t="s">
        <v>103</v>
      </c>
      <c r="F191" s="28">
        <v>500067</v>
      </c>
      <c r="G191" s="43" t="s">
        <v>419</v>
      </c>
      <c r="H191" s="22" t="s">
        <v>392</v>
      </c>
      <c r="I191" s="21" t="s">
        <v>19</v>
      </c>
      <c r="J191" s="21" t="s">
        <v>695</v>
      </c>
      <c r="K191" s="21" t="s">
        <v>64</v>
      </c>
      <c r="L191" s="21" t="s">
        <v>41</v>
      </c>
      <c r="M191" s="21" t="s">
        <v>44</v>
      </c>
      <c r="N191" s="36">
        <v>46004</v>
      </c>
      <c r="O191" s="36">
        <v>46006</v>
      </c>
      <c r="P191" s="21" t="s">
        <v>81</v>
      </c>
      <c r="Q191" s="37" t="s">
        <v>735</v>
      </c>
      <c r="R191" s="21" t="s">
        <v>790</v>
      </c>
      <c r="S191" s="21" t="s">
        <v>93</v>
      </c>
      <c r="T191" s="21" t="s">
        <v>95</v>
      </c>
      <c r="U191" s="21" t="s">
        <v>735</v>
      </c>
      <c r="V191" s="21" t="s">
        <v>736</v>
      </c>
      <c r="W191" s="21">
        <v>500075</v>
      </c>
      <c r="X191" s="21" t="s">
        <v>425</v>
      </c>
      <c r="Y191" s="21" t="s">
        <v>392</v>
      </c>
      <c r="Z191" s="22" t="s">
        <v>94</v>
      </c>
      <c r="AA191" s="22" t="s">
        <v>616</v>
      </c>
      <c r="AB191" s="22" t="s">
        <v>64</v>
      </c>
      <c r="AC191" s="22" t="s">
        <v>41</v>
      </c>
      <c r="AD191" s="22" t="s">
        <v>44</v>
      </c>
    </row>
    <row r="192" spans="1:30" x14ac:dyDescent="0.25">
      <c r="A192" s="19" t="s">
        <v>11</v>
      </c>
      <c r="B192" s="22" t="s">
        <v>922</v>
      </c>
      <c r="C192" s="28">
        <v>5516392405</v>
      </c>
      <c r="D192" s="22" t="s">
        <v>14</v>
      </c>
      <c r="E192" s="22" t="s">
        <v>103</v>
      </c>
      <c r="F192" s="28">
        <v>500066</v>
      </c>
      <c r="G192" s="43" t="s">
        <v>418</v>
      </c>
      <c r="H192" s="22" t="s">
        <v>392</v>
      </c>
      <c r="I192" s="21" t="s">
        <v>19</v>
      </c>
      <c r="J192" s="21" t="s">
        <v>695</v>
      </c>
      <c r="K192" s="21" t="s">
        <v>64</v>
      </c>
      <c r="L192" s="21" t="s">
        <v>41</v>
      </c>
      <c r="M192" s="21" t="s">
        <v>44</v>
      </c>
      <c r="N192" s="36">
        <v>46004</v>
      </c>
      <c r="O192" s="36">
        <v>46006</v>
      </c>
      <c r="P192" s="21" t="s">
        <v>81</v>
      </c>
      <c r="Q192" s="37" t="s">
        <v>735</v>
      </c>
      <c r="R192" s="21" t="s">
        <v>790</v>
      </c>
      <c r="S192" s="21" t="s">
        <v>93</v>
      </c>
      <c r="T192" s="21" t="s">
        <v>95</v>
      </c>
      <c r="U192" s="21" t="s">
        <v>735</v>
      </c>
      <c r="V192" s="21" t="s">
        <v>736</v>
      </c>
      <c r="W192" s="21">
        <v>500075</v>
      </c>
      <c r="X192" s="21" t="s">
        <v>425</v>
      </c>
      <c r="Y192" s="21" t="s">
        <v>392</v>
      </c>
      <c r="Z192" s="22" t="s">
        <v>94</v>
      </c>
      <c r="AA192" s="22" t="s">
        <v>616</v>
      </c>
      <c r="AB192" s="22" t="s">
        <v>64</v>
      </c>
      <c r="AC192" s="22" t="s">
        <v>41</v>
      </c>
      <c r="AD192" s="22" t="s">
        <v>44</v>
      </c>
    </row>
    <row r="193" spans="1:31" x14ac:dyDescent="0.25">
      <c r="A193" s="19" t="s">
        <v>11</v>
      </c>
      <c r="B193" s="22" t="s">
        <v>923</v>
      </c>
      <c r="C193" s="28">
        <v>5315741246</v>
      </c>
      <c r="D193" s="22" t="s">
        <v>14</v>
      </c>
      <c r="E193" s="22" t="s">
        <v>103</v>
      </c>
      <c r="F193" s="28">
        <v>500073</v>
      </c>
      <c r="G193" s="22" t="s">
        <v>936</v>
      </c>
      <c r="H193" s="22" t="s">
        <v>936</v>
      </c>
      <c r="I193" s="21" t="s">
        <v>19</v>
      </c>
      <c r="J193" s="22" t="s">
        <v>99</v>
      </c>
      <c r="K193" s="22" t="s">
        <v>49</v>
      </c>
      <c r="L193" s="21" t="s">
        <v>41</v>
      </c>
      <c r="M193" s="21" t="s">
        <v>44</v>
      </c>
      <c r="N193" s="36">
        <v>46004</v>
      </c>
      <c r="O193" s="36">
        <v>46006</v>
      </c>
      <c r="P193" s="21" t="s">
        <v>81</v>
      </c>
      <c r="Q193" s="37" t="s">
        <v>735</v>
      </c>
      <c r="R193" s="21" t="s">
        <v>790</v>
      </c>
      <c r="S193" s="21" t="s">
        <v>93</v>
      </c>
      <c r="T193" s="21" t="s">
        <v>95</v>
      </c>
      <c r="U193" s="21" t="s">
        <v>735</v>
      </c>
      <c r="V193" s="21" t="s">
        <v>736</v>
      </c>
      <c r="W193" s="21">
        <v>500075</v>
      </c>
      <c r="X193" s="21" t="s">
        <v>425</v>
      </c>
      <c r="Y193" s="21" t="s">
        <v>392</v>
      </c>
      <c r="Z193" s="22" t="s">
        <v>94</v>
      </c>
      <c r="AA193" s="22" t="s">
        <v>616</v>
      </c>
      <c r="AB193" s="22" t="s">
        <v>49</v>
      </c>
      <c r="AC193" s="22" t="s">
        <v>41</v>
      </c>
      <c r="AD193" s="22" t="s">
        <v>44</v>
      </c>
    </row>
    <row r="194" spans="1:31" x14ac:dyDescent="0.25">
      <c r="A194" s="19" t="s">
        <v>11</v>
      </c>
      <c r="B194" s="22" t="s">
        <v>924</v>
      </c>
      <c r="C194" s="28">
        <v>5346149716</v>
      </c>
      <c r="D194" s="22" t="s">
        <v>14</v>
      </c>
      <c r="E194" s="22" t="s">
        <v>103</v>
      </c>
      <c r="F194" s="28">
        <v>500152</v>
      </c>
      <c r="G194" s="22" t="s">
        <v>361</v>
      </c>
      <c r="H194" s="22" t="s">
        <v>646</v>
      </c>
      <c r="I194" s="21" t="s">
        <v>19</v>
      </c>
      <c r="J194" s="21" t="s">
        <v>695</v>
      </c>
      <c r="K194" s="22" t="s">
        <v>70</v>
      </c>
      <c r="L194" s="21" t="s">
        <v>97</v>
      </c>
      <c r="M194" s="21" t="s">
        <v>21</v>
      </c>
      <c r="N194" s="36">
        <v>46006</v>
      </c>
      <c r="O194" s="36">
        <v>46006</v>
      </c>
      <c r="P194" s="21" t="s">
        <v>1145</v>
      </c>
      <c r="Q194" s="37" t="s">
        <v>735</v>
      </c>
      <c r="R194" s="21" t="s">
        <v>790</v>
      </c>
      <c r="S194" s="21" t="s">
        <v>92</v>
      </c>
      <c r="T194" s="21" t="s">
        <v>94</v>
      </c>
      <c r="U194" s="21">
        <v>0</v>
      </c>
      <c r="V194" s="21" t="s">
        <v>736</v>
      </c>
      <c r="W194" s="21">
        <v>500162</v>
      </c>
      <c r="X194" s="21" t="s">
        <v>369</v>
      </c>
      <c r="Y194" s="21" t="s">
        <v>646</v>
      </c>
      <c r="Z194" s="22" t="s">
        <v>95</v>
      </c>
      <c r="AA194" s="22" t="s">
        <v>617</v>
      </c>
      <c r="AB194" s="22" t="s">
        <v>70</v>
      </c>
      <c r="AC194" s="22" t="s">
        <v>97</v>
      </c>
      <c r="AD194" s="22" t="s">
        <v>21</v>
      </c>
    </row>
    <row r="195" spans="1:31" x14ac:dyDescent="0.25">
      <c r="A195" s="19" t="s">
        <v>11</v>
      </c>
      <c r="B195" s="22" t="s">
        <v>925</v>
      </c>
      <c r="C195" s="28">
        <v>5442858757</v>
      </c>
      <c r="D195" s="22" t="s">
        <v>14</v>
      </c>
      <c r="E195" s="22" t="s">
        <v>103</v>
      </c>
      <c r="F195" s="28">
        <v>500078</v>
      </c>
      <c r="G195" s="43" t="s">
        <v>428</v>
      </c>
      <c r="H195" s="22" t="s">
        <v>392</v>
      </c>
      <c r="I195" s="21" t="s">
        <v>19</v>
      </c>
      <c r="J195" s="21" t="s">
        <v>695</v>
      </c>
      <c r="K195" s="22" t="s">
        <v>59</v>
      </c>
      <c r="L195" s="27" t="s">
        <v>96</v>
      </c>
      <c r="M195" s="21" t="s">
        <v>38</v>
      </c>
      <c r="N195" s="36">
        <v>45996</v>
      </c>
      <c r="O195" s="36">
        <v>46006</v>
      </c>
      <c r="P195" s="19" t="s">
        <v>79</v>
      </c>
      <c r="Q195" s="37" t="s">
        <v>735</v>
      </c>
      <c r="R195" s="21" t="s">
        <v>790</v>
      </c>
      <c r="S195" s="21" t="s">
        <v>92</v>
      </c>
      <c r="T195" s="21" t="s">
        <v>94</v>
      </c>
      <c r="U195" s="21">
        <v>0</v>
      </c>
      <c r="V195" s="21" t="s">
        <v>736</v>
      </c>
      <c r="W195" s="21">
        <v>500116</v>
      </c>
      <c r="X195" s="43" t="s">
        <v>414</v>
      </c>
      <c r="Y195" s="28" t="s">
        <v>391</v>
      </c>
      <c r="Z195" s="22" t="s">
        <v>94</v>
      </c>
      <c r="AA195" s="22" t="s">
        <v>616</v>
      </c>
      <c r="AB195" s="22" t="s">
        <v>59</v>
      </c>
      <c r="AC195" s="22" t="s">
        <v>96</v>
      </c>
      <c r="AD195" s="22" t="s">
        <v>38</v>
      </c>
    </row>
    <row r="196" spans="1:31" x14ac:dyDescent="0.25">
      <c r="A196" s="19" t="s">
        <v>11</v>
      </c>
      <c r="B196" s="22" t="s">
        <v>926</v>
      </c>
      <c r="C196" s="28">
        <v>5529465571</v>
      </c>
      <c r="D196" s="22" t="s">
        <v>12</v>
      </c>
      <c r="E196" s="22" t="s">
        <v>103</v>
      </c>
      <c r="F196" s="28">
        <v>500161</v>
      </c>
      <c r="G196" s="43" t="s">
        <v>368</v>
      </c>
      <c r="H196" s="28" t="s">
        <v>646</v>
      </c>
      <c r="I196" s="21" t="s">
        <v>19</v>
      </c>
      <c r="J196" s="21" t="s">
        <v>695</v>
      </c>
      <c r="K196" s="21" t="s">
        <v>64</v>
      </c>
      <c r="L196" s="21" t="s">
        <v>41</v>
      </c>
      <c r="M196" s="21" t="s">
        <v>44</v>
      </c>
      <c r="N196" s="36">
        <v>46003</v>
      </c>
      <c r="O196" s="36">
        <v>46006</v>
      </c>
      <c r="P196" s="21" t="s">
        <v>81</v>
      </c>
      <c r="Q196" s="37" t="s">
        <v>735</v>
      </c>
      <c r="R196" s="21" t="s">
        <v>790</v>
      </c>
      <c r="S196" s="21" t="s">
        <v>93</v>
      </c>
      <c r="T196" s="21" t="s">
        <v>95</v>
      </c>
      <c r="U196" s="21" t="s">
        <v>735</v>
      </c>
      <c r="V196" s="21" t="s">
        <v>736</v>
      </c>
      <c r="W196" s="21">
        <v>500089</v>
      </c>
      <c r="X196" s="43" t="s">
        <v>397</v>
      </c>
      <c r="Y196" s="28" t="s">
        <v>391</v>
      </c>
      <c r="Z196" s="22" t="s">
        <v>95</v>
      </c>
      <c r="AA196" s="22" t="s">
        <v>617</v>
      </c>
      <c r="AB196" s="22" t="s">
        <v>64</v>
      </c>
      <c r="AC196" s="22" t="s">
        <v>41</v>
      </c>
      <c r="AD196" s="22" t="s">
        <v>44</v>
      </c>
    </row>
    <row r="197" spans="1:31" x14ac:dyDescent="0.25">
      <c r="A197" s="19" t="s">
        <v>11</v>
      </c>
      <c r="B197" s="22" t="s">
        <v>926</v>
      </c>
      <c r="C197" s="28">
        <v>5529465571</v>
      </c>
      <c r="D197" s="22" t="s">
        <v>12</v>
      </c>
      <c r="E197" s="22" t="s">
        <v>103</v>
      </c>
      <c r="F197" s="28">
        <v>500175</v>
      </c>
      <c r="G197" s="43" t="s">
        <v>654</v>
      </c>
      <c r="H197" s="28" t="s">
        <v>389</v>
      </c>
      <c r="I197" s="21" t="s">
        <v>19</v>
      </c>
      <c r="J197" s="21" t="s">
        <v>695</v>
      </c>
      <c r="K197" s="21" t="s">
        <v>64</v>
      </c>
      <c r="L197" s="21" t="s">
        <v>41</v>
      </c>
      <c r="M197" s="21" t="s">
        <v>44</v>
      </c>
      <c r="N197" s="36">
        <v>46003</v>
      </c>
      <c r="O197" s="36">
        <v>46006</v>
      </c>
      <c r="P197" s="21" t="s">
        <v>81</v>
      </c>
      <c r="Q197" s="37" t="s">
        <v>735</v>
      </c>
      <c r="R197" s="21" t="s">
        <v>790</v>
      </c>
      <c r="S197" s="21" t="s">
        <v>93</v>
      </c>
      <c r="T197" s="21" t="s">
        <v>95</v>
      </c>
      <c r="U197" s="21" t="s">
        <v>735</v>
      </c>
      <c r="V197" s="21" t="s">
        <v>736</v>
      </c>
      <c r="W197" s="21">
        <v>500089</v>
      </c>
      <c r="X197" s="43" t="s">
        <v>397</v>
      </c>
      <c r="Y197" s="28" t="s">
        <v>391</v>
      </c>
      <c r="Z197" s="22" t="s">
        <v>95</v>
      </c>
      <c r="AA197" s="22" t="s">
        <v>617</v>
      </c>
      <c r="AB197" s="22" t="s">
        <v>64</v>
      </c>
      <c r="AC197" s="22" t="s">
        <v>41</v>
      </c>
      <c r="AD197" s="22" t="s">
        <v>44</v>
      </c>
    </row>
    <row r="198" spans="1:31" x14ac:dyDescent="0.25">
      <c r="A198" s="19" t="s">
        <v>11</v>
      </c>
      <c r="B198" s="22" t="s">
        <v>927</v>
      </c>
      <c r="C198" s="28">
        <v>5334082731</v>
      </c>
      <c r="D198" s="22" t="s">
        <v>12</v>
      </c>
      <c r="E198" s="22" t="s">
        <v>103</v>
      </c>
      <c r="F198" s="28">
        <v>500193</v>
      </c>
      <c r="G198" s="22" t="s">
        <v>672</v>
      </c>
      <c r="H198" s="28" t="s">
        <v>389</v>
      </c>
      <c r="I198" s="21" t="s">
        <v>19</v>
      </c>
      <c r="J198" s="21" t="s">
        <v>695</v>
      </c>
      <c r="K198" s="22" t="s">
        <v>59</v>
      </c>
      <c r="L198" s="21" t="s">
        <v>41</v>
      </c>
      <c r="M198" s="21" t="s">
        <v>44</v>
      </c>
      <c r="N198" s="36">
        <v>46003</v>
      </c>
      <c r="O198" s="36">
        <v>46006</v>
      </c>
      <c r="P198" s="19" t="s">
        <v>79</v>
      </c>
      <c r="Q198" s="37" t="s">
        <v>735</v>
      </c>
      <c r="R198" s="21" t="s">
        <v>790</v>
      </c>
      <c r="S198" s="21" t="s">
        <v>92</v>
      </c>
      <c r="T198" s="21" t="s">
        <v>94</v>
      </c>
      <c r="U198" s="21">
        <v>0</v>
      </c>
      <c r="V198" s="21" t="s">
        <v>736</v>
      </c>
      <c r="W198" s="21">
        <v>500075</v>
      </c>
      <c r="X198" s="28" t="s">
        <v>425</v>
      </c>
      <c r="Y198" s="21" t="s">
        <v>392</v>
      </c>
      <c r="Z198" s="22" t="s">
        <v>95</v>
      </c>
      <c r="AA198" s="22" t="s">
        <v>617</v>
      </c>
      <c r="AB198" s="22" t="s">
        <v>59</v>
      </c>
      <c r="AC198" s="22" t="s">
        <v>41</v>
      </c>
      <c r="AD198" s="22" t="s">
        <v>44</v>
      </c>
    </row>
    <row r="199" spans="1:31" x14ac:dyDescent="0.25">
      <c r="A199" s="19" t="s">
        <v>11</v>
      </c>
      <c r="B199" s="22" t="s">
        <v>928</v>
      </c>
      <c r="C199" s="28">
        <v>5349827676</v>
      </c>
      <c r="D199" s="22" t="s">
        <v>12</v>
      </c>
      <c r="E199" s="22" t="s">
        <v>103</v>
      </c>
      <c r="F199" s="28">
        <v>500119</v>
      </c>
      <c r="G199" s="22" t="s">
        <v>373</v>
      </c>
      <c r="H199" s="28" t="s">
        <v>646</v>
      </c>
      <c r="I199" s="21" t="s">
        <v>19</v>
      </c>
      <c r="J199" s="21" t="s">
        <v>695</v>
      </c>
      <c r="K199" s="22" t="s">
        <v>49</v>
      </c>
      <c r="L199" s="27" t="s">
        <v>97</v>
      </c>
      <c r="M199" s="21" t="s">
        <v>26</v>
      </c>
      <c r="N199" s="36">
        <v>46000</v>
      </c>
      <c r="O199" s="36">
        <v>46006</v>
      </c>
      <c r="P199" s="21" t="s">
        <v>1145</v>
      </c>
      <c r="Q199" s="37" t="s">
        <v>735</v>
      </c>
      <c r="R199" s="21" t="s">
        <v>790</v>
      </c>
      <c r="S199" s="21" t="s">
        <v>92</v>
      </c>
      <c r="T199" s="21" t="s">
        <v>94</v>
      </c>
      <c r="U199" s="21">
        <v>0</v>
      </c>
      <c r="V199" s="21" t="s">
        <v>736</v>
      </c>
      <c r="W199" s="21">
        <v>111145</v>
      </c>
      <c r="X199" s="28" t="s">
        <v>170</v>
      </c>
      <c r="Y199" s="28" t="s">
        <v>162</v>
      </c>
      <c r="Z199" s="22" t="s">
        <v>95</v>
      </c>
      <c r="AA199" s="22" t="s">
        <v>617</v>
      </c>
      <c r="AB199" s="22" t="s">
        <v>49</v>
      </c>
      <c r="AC199" s="22" t="s">
        <v>97</v>
      </c>
      <c r="AD199" s="22" t="s">
        <v>26</v>
      </c>
    </row>
    <row r="200" spans="1:31" x14ac:dyDescent="0.25">
      <c r="A200" s="19" t="s">
        <v>11</v>
      </c>
      <c r="B200" s="22" t="s">
        <v>929</v>
      </c>
      <c r="C200" s="28">
        <v>5325459188</v>
      </c>
      <c r="D200" s="22" t="s">
        <v>12</v>
      </c>
      <c r="E200" s="22" t="s">
        <v>103</v>
      </c>
      <c r="F200" s="28">
        <v>500147</v>
      </c>
      <c r="G200" s="22" t="s">
        <v>357</v>
      </c>
      <c r="H200" s="28" t="s">
        <v>646</v>
      </c>
      <c r="I200" s="21" t="s">
        <v>19</v>
      </c>
      <c r="J200" s="21" t="s">
        <v>695</v>
      </c>
      <c r="K200" s="22" t="s">
        <v>49</v>
      </c>
      <c r="L200" s="21" t="s">
        <v>97</v>
      </c>
      <c r="M200" s="21" t="s">
        <v>21</v>
      </c>
      <c r="N200" s="36">
        <v>46006</v>
      </c>
      <c r="O200" s="36">
        <v>46006</v>
      </c>
      <c r="P200" s="21" t="s">
        <v>1145</v>
      </c>
      <c r="Q200" s="37" t="s">
        <v>735</v>
      </c>
      <c r="R200" s="21" t="s">
        <v>790</v>
      </c>
      <c r="S200" s="21" t="s">
        <v>92</v>
      </c>
      <c r="T200" s="21" t="s">
        <v>94</v>
      </c>
      <c r="U200" s="21">
        <v>0</v>
      </c>
      <c r="V200" s="21" t="s">
        <v>736</v>
      </c>
      <c r="W200" s="21">
        <v>500108</v>
      </c>
      <c r="X200" s="28" t="s">
        <v>408</v>
      </c>
      <c r="Y200" s="28" t="s">
        <v>391</v>
      </c>
      <c r="Z200" s="22" t="s">
        <v>94</v>
      </c>
      <c r="AA200" s="22" t="s">
        <v>616</v>
      </c>
      <c r="AB200" s="22" t="s">
        <v>49</v>
      </c>
      <c r="AC200" s="22" t="s">
        <v>97</v>
      </c>
      <c r="AD200" s="22" t="s">
        <v>21</v>
      </c>
    </row>
    <row r="201" spans="1:31" x14ac:dyDescent="0.25">
      <c r="A201" s="19" t="s">
        <v>11</v>
      </c>
      <c r="B201" s="22" t="s">
        <v>930</v>
      </c>
      <c r="C201" s="28">
        <v>5323547335</v>
      </c>
      <c r="D201" s="22" t="s">
        <v>15</v>
      </c>
      <c r="E201" s="22" t="s">
        <v>104</v>
      </c>
      <c r="F201" s="28">
        <v>210366</v>
      </c>
      <c r="G201" s="22" t="s">
        <v>153</v>
      </c>
      <c r="H201" s="22" t="s">
        <v>142</v>
      </c>
      <c r="I201" s="21" t="s">
        <v>18</v>
      </c>
      <c r="J201" s="21" t="s">
        <v>695</v>
      </c>
      <c r="K201" s="22" t="s">
        <v>65</v>
      </c>
      <c r="L201" s="21" t="s">
        <v>97</v>
      </c>
      <c r="M201" s="21" t="s">
        <v>734</v>
      </c>
      <c r="N201" s="36">
        <v>46003</v>
      </c>
      <c r="O201" s="36">
        <v>46006</v>
      </c>
      <c r="P201" s="21" t="s">
        <v>81</v>
      </c>
      <c r="Q201" s="37" t="s">
        <v>735</v>
      </c>
      <c r="R201" s="21" t="s">
        <v>790</v>
      </c>
      <c r="S201" s="21" t="s">
        <v>92</v>
      </c>
      <c r="T201" s="21" t="s">
        <v>95</v>
      </c>
      <c r="U201" s="21">
        <v>78</v>
      </c>
      <c r="V201" s="21" t="s">
        <v>736</v>
      </c>
      <c r="W201" s="28">
        <v>210366</v>
      </c>
      <c r="X201" s="22" t="s">
        <v>153</v>
      </c>
      <c r="Y201" s="22" t="s">
        <v>142</v>
      </c>
      <c r="Z201" s="22" t="s">
        <v>94</v>
      </c>
      <c r="AA201" s="22" t="s">
        <v>616</v>
      </c>
      <c r="AB201" s="22" t="s">
        <v>65</v>
      </c>
      <c r="AC201" s="22" t="s">
        <v>97</v>
      </c>
      <c r="AD201" s="22" t="s">
        <v>734</v>
      </c>
    </row>
    <row r="202" spans="1:31" x14ac:dyDescent="0.25">
      <c r="A202" s="19" t="s">
        <v>11</v>
      </c>
      <c r="B202" s="22" t="s">
        <v>931</v>
      </c>
      <c r="C202" s="28">
        <v>5442456739</v>
      </c>
      <c r="D202" s="22" t="s">
        <v>14</v>
      </c>
      <c r="E202" s="22" t="s">
        <v>103</v>
      </c>
      <c r="F202" s="28">
        <v>110742</v>
      </c>
      <c r="G202" s="22" t="s">
        <v>290</v>
      </c>
      <c r="H202" s="22" t="s">
        <v>285</v>
      </c>
      <c r="I202" s="21" t="s">
        <v>18</v>
      </c>
      <c r="J202" s="21" t="s">
        <v>695</v>
      </c>
      <c r="K202" s="22" t="s">
        <v>49</v>
      </c>
      <c r="L202" s="22" t="s">
        <v>47</v>
      </c>
      <c r="M202" s="21" t="s">
        <v>603</v>
      </c>
      <c r="N202" s="36">
        <v>46007</v>
      </c>
      <c r="O202" s="36">
        <v>46007</v>
      </c>
      <c r="P202" s="21" t="s">
        <v>75</v>
      </c>
      <c r="Q202" s="37" t="s">
        <v>735</v>
      </c>
      <c r="R202" s="21" t="s">
        <v>790</v>
      </c>
      <c r="S202" s="21" t="s">
        <v>92</v>
      </c>
      <c r="T202" s="21" t="s">
        <v>95</v>
      </c>
      <c r="U202" s="21">
        <v>70</v>
      </c>
      <c r="V202" s="21" t="s">
        <v>736</v>
      </c>
      <c r="W202" s="21">
        <v>500183</v>
      </c>
      <c r="X202" s="28" t="s">
        <v>662</v>
      </c>
      <c r="Y202" s="28" t="s">
        <v>389</v>
      </c>
      <c r="Z202" s="22" t="s">
        <v>94</v>
      </c>
      <c r="AA202" s="22" t="s">
        <v>616</v>
      </c>
      <c r="AB202" s="22" t="s">
        <v>49</v>
      </c>
      <c r="AC202" s="22" t="s">
        <v>47</v>
      </c>
      <c r="AD202" s="22" t="s">
        <v>603</v>
      </c>
    </row>
    <row r="203" spans="1:31" x14ac:dyDescent="0.25">
      <c r="A203" s="19" t="s">
        <v>11</v>
      </c>
      <c r="B203" s="22" t="s">
        <v>931</v>
      </c>
      <c r="C203" s="28">
        <v>5442456739</v>
      </c>
      <c r="D203" s="22" t="s">
        <v>14</v>
      </c>
      <c r="E203" s="22" t="s">
        <v>103</v>
      </c>
      <c r="F203" s="28">
        <v>500090</v>
      </c>
      <c r="G203" s="22" t="s">
        <v>398</v>
      </c>
      <c r="H203" s="22" t="s">
        <v>391</v>
      </c>
      <c r="I203" s="21" t="s">
        <v>19</v>
      </c>
      <c r="J203" s="21" t="s">
        <v>695</v>
      </c>
      <c r="K203" s="22" t="s">
        <v>49</v>
      </c>
      <c r="L203" s="22" t="s">
        <v>47</v>
      </c>
      <c r="M203" s="21" t="s">
        <v>603</v>
      </c>
      <c r="N203" s="36">
        <v>46007</v>
      </c>
      <c r="O203" s="36">
        <v>46007</v>
      </c>
      <c r="P203" s="21" t="s">
        <v>80</v>
      </c>
      <c r="Q203" s="37" t="s">
        <v>735</v>
      </c>
      <c r="R203" s="21" t="s">
        <v>790</v>
      </c>
      <c r="S203" s="21" t="s">
        <v>92</v>
      </c>
      <c r="T203" s="21" t="s">
        <v>95</v>
      </c>
      <c r="U203" s="21">
        <v>100</v>
      </c>
      <c r="V203" s="21" t="s">
        <v>736</v>
      </c>
      <c r="W203" s="21">
        <v>500183</v>
      </c>
      <c r="X203" s="28" t="s">
        <v>662</v>
      </c>
      <c r="Y203" s="28" t="s">
        <v>389</v>
      </c>
      <c r="Z203" s="22" t="s">
        <v>94</v>
      </c>
      <c r="AA203" s="22" t="s">
        <v>616</v>
      </c>
      <c r="AB203" s="22" t="s">
        <v>49</v>
      </c>
      <c r="AC203" s="22" t="s">
        <v>47</v>
      </c>
      <c r="AD203" s="22" t="s">
        <v>603</v>
      </c>
    </row>
    <row r="204" spans="1:31" x14ac:dyDescent="0.25">
      <c r="A204" s="19" t="s">
        <v>11</v>
      </c>
      <c r="B204" s="22" t="s">
        <v>932</v>
      </c>
      <c r="C204" s="28">
        <v>5536001277</v>
      </c>
      <c r="D204" s="22" t="s">
        <v>12</v>
      </c>
      <c r="E204" s="22" t="s">
        <v>103</v>
      </c>
      <c r="F204" s="28">
        <v>111163</v>
      </c>
      <c r="G204" s="22" t="s">
        <v>316</v>
      </c>
      <c r="H204" s="22" t="s">
        <v>302</v>
      </c>
      <c r="I204" s="21" t="s">
        <v>18</v>
      </c>
      <c r="J204" s="21" t="s">
        <v>695</v>
      </c>
      <c r="K204" s="22" t="s">
        <v>49</v>
      </c>
      <c r="L204" s="21" t="s">
        <v>97</v>
      </c>
      <c r="M204" s="21" t="s">
        <v>734</v>
      </c>
      <c r="N204" s="36">
        <v>45993</v>
      </c>
      <c r="O204" s="36">
        <v>46007</v>
      </c>
      <c r="P204" s="21" t="s">
        <v>81</v>
      </c>
      <c r="Q204" s="37" t="s">
        <v>735</v>
      </c>
      <c r="R204" s="21" t="s">
        <v>790</v>
      </c>
      <c r="S204" s="21" t="s">
        <v>92</v>
      </c>
      <c r="T204" s="21" t="s">
        <v>95</v>
      </c>
      <c r="U204" s="21">
        <v>61</v>
      </c>
      <c r="V204" s="21" t="s">
        <v>736</v>
      </c>
      <c r="W204" s="21">
        <v>500075</v>
      </c>
      <c r="X204" s="28" t="s">
        <v>425</v>
      </c>
      <c r="Y204" s="21" t="s">
        <v>392</v>
      </c>
      <c r="Z204" s="22" t="s">
        <v>95</v>
      </c>
      <c r="AA204" s="22" t="s">
        <v>617</v>
      </c>
      <c r="AB204" s="22" t="s">
        <v>49</v>
      </c>
      <c r="AC204" s="22" t="s">
        <v>97</v>
      </c>
      <c r="AD204" s="22" t="s">
        <v>734</v>
      </c>
    </row>
    <row r="205" spans="1:31" x14ac:dyDescent="0.25">
      <c r="A205" s="19" t="s">
        <v>11</v>
      </c>
      <c r="B205" s="22" t="s">
        <v>933</v>
      </c>
      <c r="C205" s="28">
        <v>5315741246</v>
      </c>
      <c r="D205" s="22" t="s">
        <v>14</v>
      </c>
      <c r="E205" s="22" t="s">
        <v>103</v>
      </c>
      <c r="F205" s="19">
        <v>500057</v>
      </c>
      <c r="G205" s="22" t="s">
        <v>389</v>
      </c>
      <c r="H205" s="22" t="s">
        <v>389</v>
      </c>
      <c r="I205" s="21" t="s">
        <v>19</v>
      </c>
      <c r="J205" s="22" t="s">
        <v>99</v>
      </c>
      <c r="K205" s="22" t="s">
        <v>49</v>
      </c>
      <c r="L205" s="21" t="s">
        <v>97</v>
      </c>
      <c r="M205" s="21" t="s">
        <v>734</v>
      </c>
      <c r="N205" s="36">
        <v>46007</v>
      </c>
      <c r="O205" s="36">
        <v>46007</v>
      </c>
      <c r="P205" s="21" t="s">
        <v>81</v>
      </c>
      <c r="Q205" s="37" t="s">
        <v>735</v>
      </c>
      <c r="R205" s="21" t="s">
        <v>790</v>
      </c>
      <c r="S205" s="21" t="s">
        <v>93</v>
      </c>
      <c r="T205" s="21" t="s">
        <v>95</v>
      </c>
      <c r="U205" s="21" t="s">
        <v>735</v>
      </c>
      <c r="V205" s="21" t="s">
        <v>736</v>
      </c>
      <c r="W205" s="19">
        <v>500057</v>
      </c>
      <c r="X205" s="22" t="s">
        <v>389</v>
      </c>
      <c r="Y205" s="22" t="s">
        <v>389</v>
      </c>
      <c r="Z205" s="22" t="s">
        <v>95</v>
      </c>
      <c r="AA205" s="22" t="s">
        <v>617</v>
      </c>
      <c r="AB205" s="22" t="s">
        <v>49</v>
      </c>
      <c r="AC205" s="22" t="s">
        <v>97</v>
      </c>
      <c r="AD205" s="22" t="s">
        <v>734</v>
      </c>
    </row>
    <row r="206" spans="1:31" x14ac:dyDescent="0.25">
      <c r="A206" s="19" t="s">
        <v>11</v>
      </c>
      <c r="B206" s="22" t="s">
        <v>938</v>
      </c>
      <c r="C206" s="28">
        <v>5419391967</v>
      </c>
      <c r="D206" s="21" t="s">
        <v>15</v>
      </c>
      <c r="E206" s="21" t="str">
        <f>IFERROR(VLOOKUP(D206,Tanımlar!C:D,2,0),"- - -")</f>
        <v>PERAKENDE</v>
      </c>
      <c r="F206" s="28">
        <v>600721</v>
      </c>
      <c r="G206" s="22" t="str">
        <f>IFERROR(VLOOKUP(F206,'Personel Bilgi'!A:B,2,0),"- - - ")</f>
        <v>ESRA SONMEZ</v>
      </c>
      <c r="H206" s="22" t="str">
        <f>IFERROR(VLOOKUP(F206,'Personel Bilgi'!A:D,3,0),"- - -")</f>
        <v>BUSRA OLCULMUS</v>
      </c>
      <c r="I206" s="22" t="str">
        <f>IFERROR(VLOOKUP(F206,'Personel Bilgi'!A:D,4,0),"- - -")</f>
        <v>ANKARA</v>
      </c>
      <c r="J206" s="22" t="str">
        <f>IFERROR(VLOOKUP(F206,'Personel Bilgi'!A:E,5,0),"- - -")</f>
        <v>MÜŞTERİ TEMSİLCİSİ</v>
      </c>
      <c r="K206" s="22" t="s">
        <v>65</v>
      </c>
      <c r="L206" s="21" t="s">
        <v>97</v>
      </c>
      <c r="M206" s="21" t="s">
        <v>734</v>
      </c>
      <c r="N206" s="36">
        <v>46006</v>
      </c>
      <c r="O206" s="36">
        <v>46007</v>
      </c>
      <c r="P206" s="21" t="s">
        <v>81</v>
      </c>
      <c r="Q206" s="37" t="s">
        <v>735</v>
      </c>
      <c r="R206" s="19" t="s">
        <v>86</v>
      </c>
      <c r="S206" s="21" t="s">
        <v>92</v>
      </c>
      <c r="T206" s="21" t="s">
        <v>94</v>
      </c>
      <c r="U206" s="21">
        <v>0</v>
      </c>
      <c r="V206" s="21" t="s">
        <v>736</v>
      </c>
      <c r="W206" s="21">
        <v>111031</v>
      </c>
      <c r="X206" s="19" t="str">
        <f>IFERROR(VLOOKUP(W206,'Personel Bilgi'!A:B,2,0),"---")</f>
        <v>MUHAMMED EREN KAYA</v>
      </c>
      <c r="Y206" s="19" t="str">
        <f>IFERROR(VLOOKUP(W206,'Personel Bilgi'!A:C,3,0),"---")</f>
        <v>YAREN OZAYAG</v>
      </c>
      <c r="Z206" s="22" t="s">
        <v>94</v>
      </c>
      <c r="AA206" s="22" t="s">
        <v>616</v>
      </c>
      <c r="AB206" s="22" t="s">
        <v>65</v>
      </c>
      <c r="AC206" s="22" t="s">
        <v>97</v>
      </c>
      <c r="AD206" s="22" t="s">
        <v>734</v>
      </c>
    </row>
    <row r="207" spans="1:31" x14ac:dyDescent="0.25">
      <c r="A207" s="19" t="s">
        <v>11</v>
      </c>
      <c r="B207" s="22" t="s">
        <v>939</v>
      </c>
      <c r="C207" s="28">
        <v>5444823218</v>
      </c>
      <c r="D207" s="21" t="s">
        <v>13</v>
      </c>
      <c r="E207" s="21" t="str">
        <f>IFERROR(VLOOKUP(D207,Tanımlar!C:D,2,0),"- - -")</f>
        <v>PERAKENDE</v>
      </c>
      <c r="F207" s="28">
        <v>111263</v>
      </c>
      <c r="G207" s="22" t="str">
        <f>IFERROR(VLOOKUP(F207,'Personel Bilgi'!A:B,2,0),"- - - ")</f>
        <v>RAHMAN ALI KINA</v>
      </c>
      <c r="H207" s="22" t="str">
        <f>IFERROR(VLOOKUP(F207,'Personel Bilgi'!A:D,3,0),"- - -")</f>
        <v>SEVCAN BULUT</v>
      </c>
      <c r="I207" s="22" t="str">
        <f>IFERROR(VLOOKUP(F207,'Personel Bilgi'!A:D,4,0),"- - -")</f>
        <v>KARS</v>
      </c>
      <c r="J207" s="22" t="str">
        <f>IFERROR(VLOOKUP(F207,'Personel Bilgi'!A:E,5,0),"- - -")</f>
        <v>MÜŞTERİ TEMSİLCİSİ</v>
      </c>
      <c r="K207" s="22" t="s">
        <v>66</v>
      </c>
      <c r="L207" s="21" t="s">
        <v>97</v>
      </c>
      <c r="M207" s="21" t="s">
        <v>734</v>
      </c>
      <c r="N207" s="36">
        <v>46000</v>
      </c>
      <c r="O207" s="36">
        <v>46007</v>
      </c>
      <c r="P207" s="21" t="s">
        <v>81</v>
      </c>
      <c r="Q207" s="37" t="s">
        <v>735</v>
      </c>
      <c r="R207" s="19" t="s">
        <v>86</v>
      </c>
      <c r="S207" s="21" t="s">
        <v>92</v>
      </c>
      <c r="T207" s="21" t="s">
        <v>94</v>
      </c>
      <c r="U207" s="21">
        <v>0</v>
      </c>
      <c r="V207" s="21" t="s">
        <v>736</v>
      </c>
      <c r="W207" s="21">
        <v>111263</v>
      </c>
      <c r="X207" s="19" t="str">
        <f>IFERROR(VLOOKUP(W207,'Personel Bilgi'!A:B,2,0),"---")</f>
        <v>RAHMAN ALI KINA</v>
      </c>
      <c r="Y207" s="19" t="str">
        <f>IFERROR(VLOOKUP(W207,'Personel Bilgi'!A:C,3,0),"---")</f>
        <v>SEVCAN BULUT</v>
      </c>
      <c r="Z207" s="22" t="s">
        <v>94</v>
      </c>
      <c r="AA207" s="22" t="s">
        <v>616</v>
      </c>
      <c r="AB207" s="22" t="s">
        <v>66</v>
      </c>
      <c r="AC207" s="22" t="s">
        <v>97</v>
      </c>
      <c r="AD207" s="22" t="s">
        <v>734</v>
      </c>
    </row>
    <row r="208" spans="1:31" x14ac:dyDescent="0.25">
      <c r="A208" s="19" t="s">
        <v>11</v>
      </c>
      <c r="B208" s="22" t="s">
        <v>940</v>
      </c>
      <c r="C208" s="28">
        <v>5059039716</v>
      </c>
      <c r="D208" s="21" t="s">
        <v>13</v>
      </c>
      <c r="E208" s="21" t="str">
        <f>IFERROR(VLOOKUP(D208,Tanımlar!C:D,2,0),"- - -")</f>
        <v>PERAKENDE</v>
      </c>
      <c r="F208" s="28">
        <v>600774</v>
      </c>
      <c r="G208" s="22" t="str">
        <f>IFERROR(VLOOKUP(F208,'Personel Bilgi'!A:B,2,0),"- - - ")</f>
        <v>NAZLI SILA KAYHAN</v>
      </c>
      <c r="H208" s="22" t="str">
        <f>IFERROR(VLOOKUP(F208,'Personel Bilgi'!A:D,3,0),"- - -")</f>
        <v>ISIK BUGRA OZDEMIR</v>
      </c>
      <c r="I208" s="22" t="str">
        <f>IFERROR(VLOOKUP(F208,'Personel Bilgi'!A:D,4,0),"- - -")</f>
        <v>ANKARA</v>
      </c>
      <c r="J208" s="22" t="str">
        <f>IFERROR(VLOOKUP(F208,'Personel Bilgi'!A:E,5,0),"- - -")</f>
        <v>MÜŞTERİ TEMSİLCİSİ</v>
      </c>
      <c r="K208" s="22" t="s">
        <v>73</v>
      </c>
      <c r="L208" s="19" t="s">
        <v>96</v>
      </c>
      <c r="M208" s="21" t="s">
        <v>30</v>
      </c>
      <c r="N208" s="36">
        <v>45891</v>
      </c>
      <c r="O208" s="36">
        <v>46007</v>
      </c>
      <c r="P208" s="21" t="s">
        <v>81</v>
      </c>
      <c r="Q208" s="19" t="s">
        <v>725</v>
      </c>
      <c r="R208" s="19" t="s">
        <v>86</v>
      </c>
      <c r="S208" s="21" t="s">
        <v>93</v>
      </c>
      <c r="T208" s="21" t="s">
        <v>95</v>
      </c>
      <c r="U208" s="21" t="s">
        <v>735</v>
      </c>
      <c r="V208" s="21" t="s">
        <v>736</v>
      </c>
      <c r="W208" s="21">
        <v>600256</v>
      </c>
      <c r="X208" s="19" t="str">
        <f>IFERROR(VLOOKUP(W208,'Personel Bilgi'!A:B,2,0),"---")</f>
        <v>MAKBULE TUTAR</v>
      </c>
      <c r="Y208" s="19" t="str">
        <f>IFERROR(VLOOKUP(W208,'Personel Bilgi'!A:C,3,0),"---")</f>
        <v>BUSRA ONDER</v>
      </c>
      <c r="Z208" s="22" t="s">
        <v>95</v>
      </c>
      <c r="AA208" s="22" t="s">
        <v>617</v>
      </c>
      <c r="AB208" s="22" t="s">
        <v>73</v>
      </c>
      <c r="AC208" s="22" t="s">
        <v>96</v>
      </c>
      <c r="AD208" s="22" t="s">
        <v>30</v>
      </c>
      <c r="AE208" s="29" t="s">
        <v>941</v>
      </c>
    </row>
    <row r="209" spans="1:30" x14ac:dyDescent="0.25">
      <c r="A209" s="19" t="s">
        <v>11</v>
      </c>
      <c r="B209" s="22" t="s">
        <v>942</v>
      </c>
      <c r="C209" s="28">
        <v>5368832406</v>
      </c>
      <c r="D209" s="22" t="s">
        <v>14</v>
      </c>
      <c r="E209" s="21" t="str">
        <f>IFERROR(VLOOKUP(D209,Tanımlar!C:D,2,0),"- - -")</f>
        <v>DAĞITIM</v>
      </c>
      <c r="F209" s="28">
        <v>500192</v>
      </c>
      <c r="G209" s="22" t="str">
        <f>IFERROR(VLOOKUP(F209,'Personel Bilgi'!A:B,2,0),"- - - ")</f>
        <v>SEYDA ARSLAN</v>
      </c>
      <c r="H209" s="22" t="str">
        <f>IFERROR(VLOOKUP(F209,'Personel Bilgi'!A:D,3,0),"- - -")</f>
        <v>TURGUT AKDAG</v>
      </c>
      <c r="I209" s="22" t="str">
        <f>IFERROR(VLOOKUP(F209,'Personel Bilgi'!A:D,4,0),"- - -")</f>
        <v>ERZURUM</v>
      </c>
      <c r="J209" s="22" t="str">
        <f>IFERROR(VLOOKUP(F209,'Personel Bilgi'!A:E,5,0),"- - -")</f>
        <v>MÜŞTERİ TEMSİLCİSİ</v>
      </c>
      <c r="K209" s="22" t="s">
        <v>70</v>
      </c>
      <c r="L209" s="21" t="s">
        <v>97</v>
      </c>
      <c r="M209" s="21" t="s">
        <v>734</v>
      </c>
      <c r="N209" s="36">
        <v>46006</v>
      </c>
      <c r="O209" s="36">
        <v>46007</v>
      </c>
      <c r="P209" s="21" t="s">
        <v>1145</v>
      </c>
      <c r="Q209" s="37" t="s">
        <v>735</v>
      </c>
      <c r="R209" s="21" t="s">
        <v>790</v>
      </c>
      <c r="S209" s="21" t="s">
        <v>92</v>
      </c>
      <c r="T209" s="21" t="s">
        <v>94</v>
      </c>
      <c r="U209" s="21">
        <v>0</v>
      </c>
      <c r="V209" s="21" t="s">
        <v>736</v>
      </c>
      <c r="W209" s="21">
        <v>500122</v>
      </c>
      <c r="X209" s="19" t="str">
        <f>IFERROR(VLOOKUP(W209,'Personel Bilgi'!A:B,2,0),"---")</f>
        <v>EYLUL YILDIRIM</v>
      </c>
      <c r="Y209" s="19" t="str">
        <f>IFERROR(VLOOKUP(W209,'Personel Bilgi'!A:C,3,0),"---")</f>
        <v>SAMET KOCABEYOGLU</v>
      </c>
      <c r="Z209" s="22" t="s">
        <v>94</v>
      </c>
      <c r="AA209" s="22" t="s">
        <v>616</v>
      </c>
      <c r="AB209" s="22" t="s">
        <v>70</v>
      </c>
      <c r="AC209" s="22" t="s">
        <v>97</v>
      </c>
      <c r="AD209" s="22" t="s">
        <v>734</v>
      </c>
    </row>
    <row r="210" spans="1:30" x14ac:dyDescent="0.25">
      <c r="A210" s="19" t="s">
        <v>11</v>
      </c>
      <c r="B210" s="22" t="s">
        <v>943</v>
      </c>
      <c r="C210" s="28">
        <v>5368832406</v>
      </c>
      <c r="D210" s="22" t="s">
        <v>14</v>
      </c>
      <c r="E210" s="21" t="str">
        <f>IFERROR(VLOOKUP(D210,Tanımlar!C:D,2,0),"- - -")</f>
        <v>DAĞITIM</v>
      </c>
      <c r="F210" s="28">
        <v>500153</v>
      </c>
      <c r="G210" s="22" t="str">
        <f>IFERROR(VLOOKUP(F210,'Personel Bilgi'!A:B,2,0),"- - - ")</f>
        <v>ESRA YILMAZ</v>
      </c>
      <c r="H210" s="22" t="str">
        <f>IFERROR(VLOOKUP(F210,'Personel Bilgi'!A:D,3,0),"- - -")</f>
        <v>KURSAD TERCANLI</v>
      </c>
      <c r="I210" s="22" t="str">
        <f>IFERROR(VLOOKUP(F210,'Personel Bilgi'!A:D,4,0),"- - -")</f>
        <v>ERZURUM</v>
      </c>
      <c r="J210" s="22" t="str">
        <f>IFERROR(VLOOKUP(F210,'Personel Bilgi'!A:E,5,0),"- - -")</f>
        <v>MÜŞTERİ TEMSİLCİSİ</v>
      </c>
      <c r="K210" s="22" t="s">
        <v>70</v>
      </c>
      <c r="L210" s="21" t="s">
        <v>97</v>
      </c>
      <c r="M210" s="21" t="s">
        <v>734</v>
      </c>
      <c r="N210" s="36">
        <v>46007</v>
      </c>
      <c r="O210" s="36">
        <v>46007</v>
      </c>
      <c r="P210" s="21" t="s">
        <v>1145</v>
      </c>
      <c r="Q210" s="37" t="s">
        <v>735</v>
      </c>
      <c r="R210" s="21" t="s">
        <v>790</v>
      </c>
      <c r="S210" s="21" t="s">
        <v>92</v>
      </c>
      <c r="T210" s="21" t="s">
        <v>94</v>
      </c>
      <c r="U210" s="21">
        <v>0</v>
      </c>
      <c r="V210" s="21" t="s">
        <v>736</v>
      </c>
      <c r="W210" s="21">
        <v>500122</v>
      </c>
      <c r="X210" s="19" t="str">
        <f>IFERROR(VLOOKUP(W210,'Personel Bilgi'!A:B,2,0),"---")</f>
        <v>EYLUL YILDIRIM</v>
      </c>
      <c r="Y210" s="19" t="str">
        <f>IFERROR(VLOOKUP(W210,'Personel Bilgi'!A:C,3,0),"---")</f>
        <v>SAMET KOCABEYOGLU</v>
      </c>
      <c r="Z210" s="22" t="s">
        <v>94</v>
      </c>
      <c r="AA210" s="22" t="s">
        <v>616</v>
      </c>
      <c r="AB210" s="22" t="s">
        <v>70</v>
      </c>
      <c r="AC210" s="22" t="s">
        <v>97</v>
      </c>
      <c r="AD210" s="22" t="s">
        <v>734</v>
      </c>
    </row>
    <row r="211" spans="1:30" x14ac:dyDescent="0.25">
      <c r="A211" s="19" t="s">
        <v>11</v>
      </c>
      <c r="B211" s="22" t="s">
        <v>944</v>
      </c>
      <c r="C211" s="28">
        <v>5368832406</v>
      </c>
      <c r="D211" s="22" t="s">
        <v>14</v>
      </c>
      <c r="E211" s="21" t="str">
        <f>IFERROR(VLOOKUP(D211,Tanımlar!C:D,2,0),"- - -")</f>
        <v>DAĞITIM</v>
      </c>
      <c r="F211" s="28">
        <v>500187</v>
      </c>
      <c r="G211" s="22" t="str">
        <f>IFERROR(VLOOKUP(F211,'Personel Bilgi'!A:B,2,0),"- - - ")</f>
        <v>NESLIHAN HOS</v>
      </c>
      <c r="H211" s="22" t="str">
        <f>IFERROR(VLOOKUP(F211,'Personel Bilgi'!A:D,3,0),"- - -")</f>
        <v>SAMET KOCABEYOGLU</v>
      </c>
      <c r="I211" s="22" t="str">
        <f>IFERROR(VLOOKUP(F211,'Personel Bilgi'!A:D,4,0),"- - -")</f>
        <v>ERZURUM</v>
      </c>
      <c r="J211" s="22" t="str">
        <f>IFERROR(VLOOKUP(F211,'Personel Bilgi'!A:E,5,0),"- - -")</f>
        <v>MÜŞTERİ TEMSİLCİSİ</v>
      </c>
      <c r="K211" s="22" t="s">
        <v>70</v>
      </c>
      <c r="L211" s="21" t="s">
        <v>97</v>
      </c>
      <c r="M211" s="21" t="s">
        <v>734</v>
      </c>
      <c r="N211" s="36">
        <v>46007</v>
      </c>
      <c r="O211" s="36">
        <v>46007</v>
      </c>
      <c r="P211" s="19" t="s">
        <v>79</v>
      </c>
      <c r="Q211" s="37" t="s">
        <v>735</v>
      </c>
      <c r="R211" s="21" t="s">
        <v>790</v>
      </c>
      <c r="S211" s="21" t="s">
        <v>92</v>
      </c>
      <c r="T211" s="21" t="s">
        <v>94</v>
      </c>
      <c r="U211" s="21">
        <v>0</v>
      </c>
      <c r="V211" s="21" t="s">
        <v>736</v>
      </c>
      <c r="W211" s="21">
        <v>500122</v>
      </c>
      <c r="X211" s="19" t="str">
        <f>IFERROR(VLOOKUP(W211,'Personel Bilgi'!A:B,2,0),"---")</f>
        <v>EYLUL YILDIRIM</v>
      </c>
      <c r="Y211" s="19" t="str">
        <f>IFERROR(VLOOKUP(W211,'Personel Bilgi'!A:C,3,0),"---")</f>
        <v>SAMET KOCABEYOGLU</v>
      </c>
      <c r="Z211" s="22" t="s">
        <v>94</v>
      </c>
      <c r="AA211" s="22" t="s">
        <v>616</v>
      </c>
      <c r="AB211" s="22" t="s">
        <v>70</v>
      </c>
      <c r="AC211" s="22" t="s">
        <v>97</v>
      </c>
      <c r="AD211" s="22" t="s">
        <v>734</v>
      </c>
    </row>
    <row r="212" spans="1:30" x14ac:dyDescent="0.25">
      <c r="A212" s="19" t="s">
        <v>11</v>
      </c>
      <c r="B212" s="22" t="s">
        <v>945</v>
      </c>
      <c r="C212" s="28">
        <v>5413212344</v>
      </c>
      <c r="D212" s="22" t="s">
        <v>14</v>
      </c>
      <c r="E212" s="21" t="str">
        <f>IFERROR(VLOOKUP(D212,Tanımlar!C:D,2,0),"- - -")</f>
        <v>DAĞITIM</v>
      </c>
      <c r="F212" s="19">
        <v>500057</v>
      </c>
      <c r="G212" s="22" t="str">
        <f>IFERROR(VLOOKUP(F212,'Personel Bilgi'!A:B,2,0),"- - - ")</f>
        <v>SAMET KOCABEYOGLU</v>
      </c>
      <c r="H212" s="22" t="s">
        <v>389</v>
      </c>
      <c r="I212" s="22" t="str">
        <f>IFERROR(VLOOKUP(F212,'Personel Bilgi'!A:D,4,0),"- - -")</f>
        <v>ERZURUM</v>
      </c>
      <c r="J212" s="22" t="str">
        <f>IFERROR(VLOOKUP(F212,'Personel Bilgi'!A:E,5,0),"- - -")</f>
        <v>MÜŞTERİ TEMSİLCİSİ</v>
      </c>
      <c r="K212" s="22" t="s">
        <v>54</v>
      </c>
      <c r="L212" s="21" t="s">
        <v>97</v>
      </c>
      <c r="M212" s="21" t="s">
        <v>734</v>
      </c>
      <c r="N212" s="36">
        <v>46007</v>
      </c>
      <c r="O212" s="36">
        <v>46007</v>
      </c>
      <c r="P212" s="21" t="s">
        <v>81</v>
      </c>
      <c r="Q212" s="37" t="s">
        <v>735</v>
      </c>
      <c r="R212" s="21" t="s">
        <v>790</v>
      </c>
      <c r="S212" s="21" t="s">
        <v>93</v>
      </c>
      <c r="T212" s="21" t="s">
        <v>95</v>
      </c>
      <c r="U212" s="21" t="s">
        <v>735</v>
      </c>
      <c r="V212" s="21" t="s">
        <v>736</v>
      </c>
      <c r="W212" s="19">
        <v>500057</v>
      </c>
      <c r="X212" s="22" t="s">
        <v>389</v>
      </c>
      <c r="Y212" s="22" t="s">
        <v>389</v>
      </c>
      <c r="Z212" s="22" t="s">
        <v>95</v>
      </c>
      <c r="AA212" s="22" t="s">
        <v>617</v>
      </c>
      <c r="AB212" s="22" t="s">
        <v>54</v>
      </c>
      <c r="AC212" s="22" t="s">
        <v>97</v>
      </c>
      <c r="AD212" s="22" t="s">
        <v>734</v>
      </c>
    </row>
    <row r="213" spans="1:30" x14ac:dyDescent="0.25">
      <c r="A213" s="19" t="s">
        <v>11</v>
      </c>
      <c r="B213" s="22" t="s">
        <v>946</v>
      </c>
      <c r="C213" s="28">
        <v>5529352506</v>
      </c>
      <c r="D213" s="22" t="s">
        <v>13</v>
      </c>
      <c r="E213" s="21" t="str">
        <f>IFERROR(VLOOKUP(D213,Tanımlar!C:D,2,0),"- - -")</f>
        <v>PERAKENDE</v>
      </c>
      <c r="F213" s="28">
        <v>111264</v>
      </c>
      <c r="G213" s="22" t="str">
        <f>IFERROR(VLOOKUP(F213,'Personel Bilgi'!A:B,2,0),"- - - ")</f>
        <v>RESUL BULUT</v>
      </c>
      <c r="H213" s="22" t="str">
        <f>IFERROR(VLOOKUP(F213,'Personel Bilgi'!A:D,3,0),"- - -")</f>
        <v>KURTHAN FERDI CIHANTIMUR</v>
      </c>
      <c r="I213" s="22" t="str">
        <f>IFERROR(VLOOKUP(F213,'Personel Bilgi'!A:D,4,0),"- - -")</f>
        <v>KARS</v>
      </c>
      <c r="J213" s="22" t="s">
        <v>99</v>
      </c>
      <c r="K213" s="22" t="s">
        <v>65</v>
      </c>
      <c r="L213" s="21" t="s">
        <v>97</v>
      </c>
      <c r="M213" s="21" t="s">
        <v>734</v>
      </c>
      <c r="N213" s="36">
        <v>46002</v>
      </c>
      <c r="O213" s="36">
        <v>46007</v>
      </c>
      <c r="P213" s="21" t="s">
        <v>1145</v>
      </c>
      <c r="Q213" s="37" t="s">
        <v>735</v>
      </c>
      <c r="R213" s="21" t="s">
        <v>790</v>
      </c>
      <c r="S213" s="21" t="s">
        <v>92</v>
      </c>
      <c r="T213" s="21" t="s">
        <v>95</v>
      </c>
      <c r="U213" s="21">
        <v>80</v>
      </c>
      <c r="V213" s="21" t="s">
        <v>736</v>
      </c>
      <c r="W213" s="21">
        <v>111201</v>
      </c>
      <c r="X213" s="19" t="str">
        <f>IFERROR(VLOOKUP(W213,'Personel Bilgi'!A:B,2,0),"---")</f>
        <v>MELISA COSKUNOZ</v>
      </c>
      <c r="Y213" s="19" t="str">
        <f>IFERROR(VLOOKUP(W213,'Personel Bilgi'!A:C,3,0),"---")</f>
        <v>KURTHAN FERDI CIHANTIMUR</v>
      </c>
      <c r="Z213" s="22" t="s">
        <v>95</v>
      </c>
      <c r="AA213" s="22" t="s">
        <v>617</v>
      </c>
      <c r="AB213" s="22" t="s">
        <v>65</v>
      </c>
      <c r="AC213" s="22" t="s">
        <v>97</v>
      </c>
      <c r="AD213" s="22" t="s">
        <v>734</v>
      </c>
    </row>
    <row r="214" spans="1:30" x14ac:dyDescent="0.25">
      <c r="A214" s="19" t="s">
        <v>11</v>
      </c>
      <c r="B214" s="22" t="s">
        <v>947</v>
      </c>
      <c r="C214" s="28">
        <v>5424131388</v>
      </c>
      <c r="D214" s="22" t="s">
        <v>13</v>
      </c>
      <c r="E214" s="21" t="str">
        <f>IFERROR(VLOOKUP(D214,Tanımlar!C:D,2,0),"- - -")</f>
        <v>PERAKENDE</v>
      </c>
      <c r="F214" s="28">
        <v>600455</v>
      </c>
      <c r="G214" s="22" t="str">
        <f>IFERROR(VLOOKUP(F214,'Personel Bilgi'!A:B,2,0),"- - - ")</f>
        <v>VUSLAT UNAL</v>
      </c>
      <c r="H214" s="22" t="str">
        <f>IFERROR(VLOOKUP(F214,'Personel Bilgi'!A:D,3,0),"- - -")</f>
        <v>GORKEM SERT</v>
      </c>
      <c r="I214" s="22" t="str">
        <f>IFERROR(VLOOKUP(F214,'Personel Bilgi'!A:D,4,0),"- - -")</f>
        <v>ANKARA</v>
      </c>
      <c r="J214" s="22" t="s">
        <v>695</v>
      </c>
      <c r="K214" s="22" t="s">
        <v>66</v>
      </c>
      <c r="L214" s="21" t="s">
        <v>41</v>
      </c>
      <c r="M214" s="21" t="s">
        <v>44</v>
      </c>
      <c r="N214" s="36">
        <v>46006</v>
      </c>
      <c r="O214" s="36">
        <v>46007</v>
      </c>
      <c r="P214" s="19" t="s">
        <v>79</v>
      </c>
      <c r="Q214" s="37" t="s">
        <v>735</v>
      </c>
      <c r="R214" s="21" t="s">
        <v>790</v>
      </c>
      <c r="S214" s="21" t="s">
        <v>92</v>
      </c>
      <c r="T214" s="21" t="s">
        <v>94</v>
      </c>
      <c r="U214" s="21">
        <v>0</v>
      </c>
      <c r="V214" s="21" t="s">
        <v>736</v>
      </c>
      <c r="W214" s="21">
        <v>600726</v>
      </c>
      <c r="X214" s="19" t="str">
        <f>IFERROR(VLOOKUP(W214,'Personel Bilgi'!A:B,2,0),"---")</f>
        <v>MELEK SUDE YANAR</v>
      </c>
      <c r="Y214" s="19" t="str">
        <f>IFERROR(VLOOKUP(W214,'Personel Bilgi'!A:C,3,0),"---")</f>
        <v>ASYA DAG</v>
      </c>
      <c r="Z214" s="22" t="s">
        <v>95</v>
      </c>
      <c r="AA214" s="22" t="s">
        <v>617</v>
      </c>
      <c r="AB214" s="22" t="s">
        <v>66</v>
      </c>
      <c r="AC214" s="22" t="s">
        <v>41</v>
      </c>
      <c r="AD214" s="22" t="s">
        <v>44</v>
      </c>
    </row>
    <row r="215" spans="1:30" ht="14.25" customHeight="1" x14ac:dyDescent="0.25">
      <c r="A215" s="19" t="s">
        <v>9</v>
      </c>
      <c r="B215" s="19">
        <v>2505227281</v>
      </c>
      <c r="C215" s="28">
        <v>5367096609</v>
      </c>
      <c r="D215" s="21" t="s">
        <v>15</v>
      </c>
      <c r="E215" s="21" t="str">
        <f>IFERROR(VLOOKUP(D215,Tanımlar!C:D,2,0),"- - -")</f>
        <v>PERAKENDE</v>
      </c>
      <c r="F215" s="28">
        <v>600675</v>
      </c>
      <c r="G215" s="22" t="str">
        <f>IFERROR(VLOOKUP(F215,'Personel Bilgi'!A:B,2,0),"- - - ")</f>
        <v>SELIM FIRAT TUNCER</v>
      </c>
      <c r="H215" s="22" t="str">
        <f>IFERROR(VLOOKUP(F215,'Personel Bilgi'!A:D,3,0),"- - -")</f>
        <v>AHMET RIDVAN ERDOGMUS</v>
      </c>
      <c r="I215" s="22" t="str">
        <f>IFERROR(VLOOKUP(F215,'Personel Bilgi'!A:D,4,0),"- - -")</f>
        <v>ANKARA</v>
      </c>
      <c r="J215" s="22" t="str">
        <f>IFERROR(VLOOKUP(F215,'Personel Bilgi'!A:E,5,0),"- - -")</f>
        <v>MÜŞTERİ TEMSİLCİSİ</v>
      </c>
      <c r="K215" s="22" t="s">
        <v>73</v>
      </c>
      <c r="L215" s="19" t="s">
        <v>96</v>
      </c>
      <c r="M215" s="21" t="s">
        <v>30</v>
      </c>
      <c r="N215" s="36">
        <v>45827</v>
      </c>
      <c r="O215" s="36">
        <v>46008</v>
      </c>
      <c r="P215" s="21" t="s">
        <v>1145</v>
      </c>
      <c r="Q215" s="19" t="s">
        <v>724</v>
      </c>
      <c r="R215" s="19" t="s">
        <v>86</v>
      </c>
      <c r="S215" s="21" t="s">
        <v>93</v>
      </c>
      <c r="T215" s="21" t="s">
        <v>95</v>
      </c>
      <c r="U215" s="21" t="s">
        <v>735</v>
      </c>
      <c r="V215" s="21" t="s">
        <v>736</v>
      </c>
      <c r="W215" s="21">
        <v>888888</v>
      </c>
      <c r="X215" s="19" t="str">
        <f>IFERROR(VLOOKUP(W215,'Personel Bilgi'!A:B,2,0),"---")</f>
        <v>CİMER</v>
      </c>
      <c r="Y215" s="19" t="str">
        <f>IFERROR(VLOOKUP(W215,'Personel Bilgi'!A:C,3,0),"---")</f>
        <v>CİMER</v>
      </c>
      <c r="Z215" s="19" t="str">
        <f>IFERROR(VLOOKUP(X215,'Personel Bilgi'!B:D,3,0),"---")</f>
        <v>CİMER</v>
      </c>
      <c r="AA215" s="19" t="str">
        <f>IFERROR(VLOOKUP(Y215,'Personel Bilgi'!C:E,3,0),"---")</f>
        <v>CİMER</v>
      </c>
      <c r="AB215" s="19" t="s">
        <v>73</v>
      </c>
      <c r="AC215" s="19" t="s">
        <v>96</v>
      </c>
      <c r="AD215" s="19" t="s">
        <v>30</v>
      </c>
    </row>
    <row r="216" spans="1:30" x14ac:dyDescent="0.25">
      <c r="A216" s="19" t="s">
        <v>11</v>
      </c>
      <c r="B216" s="22" t="s">
        <v>948</v>
      </c>
      <c r="C216" s="28">
        <v>5443412506</v>
      </c>
      <c r="D216" s="21" t="s">
        <v>14</v>
      </c>
      <c r="E216" s="21" t="str">
        <f>IFERROR(VLOOKUP(D216,Tanımlar!C:D,2,0),"- - -")</f>
        <v>DAĞITIM</v>
      </c>
      <c r="F216" s="28">
        <v>600345</v>
      </c>
      <c r="G216" s="22" t="str">
        <f>IFERROR(VLOOKUP(F216,'Personel Bilgi'!A:B,2,0),"- - - ")</f>
        <v>FERHAT DEMIR</v>
      </c>
      <c r="H216" s="22" t="str">
        <f>IFERROR(VLOOKUP(F216,'Personel Bilgi'!A:D,3,0),"- - -")</f>
        <v>FERHAT DEMIR</v>
      </c>
      <c r="I216" s="22" t="str">
        <f>IFERROR(VLOOKUP(F216,'Personel Bilgi'!A:D,4,0),"- - -")</f>
        <v>ANKARA</v>
      </c>
      <c r="J216" s="22" t="str">
        <f>IFERROR(VLOOKUP(F216,'Personel Bilgi'!A:E,5,0),"- - -")</f>
        <v>TAKIM LİDERİ</v>
      </c>
      <c r="K216" s="22" t="s">
        <v>54</v>
      </c>
      <c r="L216" s="19" t="s">
        <v>96</v>
      </c>
      <c r="M216" s="21" t="s">
        <v>36</v>
      </c>
      <c r="N216" s="36">
        <v>46007</v>
      </c>
      <c r="O216" s="36">
        <v>46008</v>
      </c>
      <c r="P216" s="21" t="s">
        <v>81</v>
      </c>
      <c r="Q216" s="37" t="s">
        <v>735</v>
      </c>
      <c r="R216" s="19" t="s">
        <v>86</v>
      </c>
      <c r="S216" s="21" t="s">
        <v>93</v>
      </c>
      <c r="T216" s="21" t="s">
        <v>95</v>
      </c>
      <c r="U216" s="21" t="s">
        <v>735</v>
      </c>
      <c r="V216" s="21" t="s">
        <v>736</v>
      </c>
      <c r="W216" s="21">
        <v>500158</v>
      </c>
      <c r="X216" s="19" t="str">
        <f>IFERROR(VLOOKUP(W216,'Personel Bilgi'!A:B,2,0),"---")</f>
        <v>MEHTAP SONMEZ</v>
      </c>
      <c r="Y216" s="19" t="str">
        <f>IFERROR(VLOOKUP(W216,'Personel Bilgi'!A:C,3,0),"---")</f>
        <v>KURSAD TERCANLI</v>
      </c>
      <c r="Z216" s="22" t="s">
        <v>95</v>
      </c>
      <c r="AA216" s="22" t="s">
        <v>617</v>
      </c>
      <c r="AB216" s="22" t="s">
        <v>54</v>
      </c>
      <c r="AC216" s="22" t="s">
        <v>96</v>
      </c>
      <c r="AD216" s="22" t="s">
        <v>36</v>
      </c>
    </row>
    <row r="217" spans="1:30" x14ac:dyDescent="0.25">
      <c r="A217" s="19" t="s">
        <v>11</v>
      </c>
      <c r="B217" s="22" t="s">
        <v>949</v>
      </c>
      <c r="C217" s="28">
        <v>5443412506</v>
      </c>
      <c r="D217" s="21" t="s">
        <v>14</v>
      </c>
      <c r="E217" s="21" t="str">
        <f>IFERROR(VLOOKUP(D217,Tanımlar!C:D,2,0),"- - -")</f>
        <v>DAĞITIM</v>
      </c>
      <c r="F217" s="28">
        <v>500120</v>
      </c>
      <c r="G217" s="22" t="str">
        <f>IFERROR(VLOOKUP(F217,'Personel Bilgi'!A:B,2,0),"- - - ")</f>
        <v>ELIF DEMIRBAGA</v>
      </c>
      <c r="H217" s="22" t="str">
        <f>IFERROR(VLOOKUP(F217,'Personel Bilgi'!A:D,3,0),"- - -")</f>
        <v>KURSAD TERCANLI</v>
      </c>
      <c r="I217" s="22" t="str">
        <f>IFERROR(VLOOKUP(F217,'Personel Bilgi'!A:D,4,0),"- - -")</f>
        <v>ERZURUM</v>
      </c>
      <c r="J217" s="22" t="str">
        <f>IFERROR(VLOOKUP(F217,'Personel Bilgi'!A:E,5,0),"- - -")</f>
        <v>MÜŞTERİ TEMSİLCİSİ</v>
      </c>
      <c r="K217" s="22" t="s">
        <v>54</v>
      </c>
      <c r="L217" s="19" t="s">
        <v>96</v>
      </c>
      <c r="M217" s="21" t="s">
        <v>36</v>
      </c>
      <c r="N217" s="36">
        <v>46007</v>
      </c>
      <c r="O217" s="36">
        <v>46008</v>
      </c>
      <c r="P217" s="21" t="s">
        <v>81</v>
      </c>
      <c r="Q217" s="37" t="s">
        <v>735</v>
      </c>
      <c r="R217" s="19" t="s">
        <v>86</v>
      </c>
      <c r="S217" s="21" t="s">
        <v>93</v>
      </c>
      <c r="T217" s="21" t="s">
        <v>95</v>
      </c>
      <c r="U217" s="21" t="s">
        <v>735</v>
      </c>
      <c r="V217" s="21" t="s">
        <v>736</v>
      </c>
      <c r="W217" s="21">
        <v>500158</v>
      </c>
      <c r="X217" s="19" t="str">
        <f>IFERROR(VLOOKUP(W217,'Personel Bilgi'!A:B,2,0),"---")</f>
        <v>MEHTAP SONMEZ</v>
      </c>
      <c r="Y217" s="19" t="str">
        <f>IFERROR(VLOOKUP(W217,'Personel Bilgi'!A:C,3,0),"---")</f>
        <v>KURSAD TERCANLI</v>
      </c>
      <c r="Z217" s="22" t="s">
        <v>95</v>
      </c>
      <c r="AA217" s="22" t="s">
        <v>617</v>
      </c>
      <c r="AB217" s="22" t="s">
        <v>54</v>
      </c>
      <c r="AC217" s="22" t="s">
        <v>96</v>
      </c>
      <c r="AD217" s="22" t="s">
        <v>36</v>
      </c>
    </row>
    <row r="218" spans="1:30" x14ac:dyDescent="0.25">
      <c r="A218" s="19" t="s">
        <v>11</v>
      </c>
      <c r="B218" s="22" t="s">
        <v>964</v>
      </c>
      <c r="C218" s="28">
        <v>5368750028</v>
      </c>
      <c r="D218" s="21" t="s">
        <v>14</v>
      </c>
      <c r="E218" s="21" t="str">
        <f>IFERROR(VLOOKUP(D218,Tanımlar!C:D,2,0),"- - -")</f>
        <v>DAĞITIM</v>
      </c>
      <c r="F218" s="28">
        <v>500075</v>
      </c>
      <c r="G218" s="22" t="str">
        <f>IFERROR(VLOOKUP(F218,'Personel Bilgi'!A:B,2,0),"- - - ")</f>
        <v>AHMET SEFA BASBUGA</v>
      </c>
      <c r="H218" s="22" t="str">
        <f>IFERROR(VLOOKUP(F218,'Personel Bilgi'!A:D,3,0),"- - -")</f>
        <v>SALTUK BUGRAHAN TAYMUS</v>
      </c>
      <c r="I218" s="22" t="str">
        <f>IFERROR(VLOOKUP(F218,'Personel Bilgi'!A:D,4,0),"- - -")</f>
        <v>ERZURUM</v>
      </c>
      <c r="J218" s="22" t="str">
        <f>IFERROR(VLOOKUP(F218,'Personel Bilgi'!A:E,5,0),"- - -")</f>
        <v>MÜŞTERİ TEMSİLCİSİ</v>
      </c>
      <c r="K218" s="22" t="s">
        <v>70</v>
      </c>
      <c r="L218" s="21" t="s">
        <v>97</v>
      </c>
      <c r="M218" s="21" t="s">
        <v>26</v>
      </c>
      <c r="N218" s="36">
        <v>46008</v>
      </c>
      <c r="O218" s="36">
        <v>46008</v>
      </c>
      <c r="P218" s="19" t="s">
        <v>79</v>
      </c>
      <c r="Q218" s="37" t="s">
        <v>735</v>
      </c>
      <c r="R218" s="19" t="s">
        <v>86</v>
      </c>
      <c r="S218" s="21" t="s">
        <v>92</v>
      </c>
      <c r="T218" s="21" t="s">
        <v>94</v>
      </c>
      <c r="U218" s="21">
        <v>0</v>
      </c>
      <c r="V218" s="21" t="s">
        <v>736</v>
      </c>
      <c r="W218" s="21">
        <v>500162</v>
      </c>
      <c r="X218" s="19" t="str">
        <f>IFERROR(VLOOKUP(W218,'Personel Bilgi'!A:B,2,0),"---")</f>
        <v>MUHAMMED CAN POLAT</v>
      </c>
      <c r="Y218" s="19" t="str">
        <f>IFERROR(VLOOKUP(W218,'Personel Bilgi'!A:C,3,0),"---")</f>
        <v>KURSAD TERCANLI</v>
      </c>
      <c r="Z218" s="22" t="s">
        <v>94</v>
      </c>
      <c r="AA218" s="22" t="s">
        <v>616</v>
      </c>
      <c r="AB218" s="22" t="s">
        <v>54</v>
      </c>
      <c r="AC218" s="22" t="s">
        <v>96</v>
      </c>
      <c r="AD218" s="22" t="s">
        <v>36</v>
      </c>
    </row>
    <row r="219" spans="1:30" x14ac:dyDescent="0.25">
      <c r="A219" s="19" t="s">
        <v>11</v>
      </c>
      <c r="B219" s="22" t="s">
        <v>965</v>
      </c>
      <c r="C219" s="28">
        <v>5462129734</v>
      </c>
      <c r="D219" s="22" t="s">
        <v>14</v>
      </c>
      <c r="E219" s="21" t="str">
        <f>IFERROR(VLOOKUP(D219,Tanımlar!C:D,2,0),"- - -")</f>
        <v>DAĞITIM</v>
      </c>
      <c r="F219" s="28">
        <v>500098</v>
      </c>
      <c r="G219" s="22" t="str">
        <f>IFERROR(VLOOKUP(F219,'Personel Bilgi'!A:B,2,0),"- - - ")</f>
        <v>GAMZE ASLAN</v>
      </c>
      <c r="H219" s="22" t="str">
        <f>IFERROR(VLOOKUP(F219,'Personel Bilgi'!A:D,3,0),"- - -")</f>
        <v>MEHMET ALI SAVAN</v>
      </c>
      <c r="I219" s="22" t="str">
        <f>IFERROR(VLOOKUP(F219,'Personel Bilgi'!A:D,4,0),"- - -")</f>
        <v>ERZURUM</v>
      </c>
      <c r="J219" s="22" t="str">
        <f>IFERROR(VLOOKUP(F219,'Personel Bilgi'!A:E,5,0),"- - -")</f>
        <v>MÜŞTERİ TEMSİLCİSİ</v>
      </c>
      <c r="K219" s="22" t="s">
        <v>50</v>
      </c>
      <c r="L219" s="22" t="s">
        <v>47</v>
      </c>
      <c r="M219" s="21" t="s">
        <v>603</v>
      </c>
      <c r="N219" s="36">
        <v>46007</v>
      </c>
      <c r="O219" s="36">
        <v>46008</v>
      </c>
      <c r="P219" s="21" t="s">
        <v>80</v>
      </c>
      <c r="Q219" s="37" t="s">
        <v>735</v>
      </c>
      <c r="R219" s="21" t="s">
        <v>790</v>
      </c>
      <c r="S219" s="21" t="s">
        <v>92</v>
      </c>
      <c r="T219" s="21" t="s">
        <v>94</v>
      </c>
      <c r="U219" s="21">
        <v>0</v>
      </c>
      <c r="V219" s="21" t="s">
        <v>736</v>
      </c>
      <c r="W219" s="28">
        <v>500098</v>
      </c>
      <c r="X219" s="19" t="str">
        <f>IFERROR(VLOOKUP(W219,'Personel Bilgi'!A:B,2,0),"---")</f>
        <v>GAMZE ASLAN</v>
      </c>
      <c r="Y219" s="19" t="str">
        <f>IFERROR(VLOOKUP(W219,'Personel Bilgi'!A:C,3,0),"---")</f>
        <v>MEHMET ALI SAVAN</v>
      </c>
      <c r="Z219" s="22" t="s">
        <v>94</v>
      </c>
      <c r="AA219" s="22" t="s">
        <v>616</v>
      </c>
      <c r="AB219" s="22" t="s">
        <v>50</v>
      </c>
      <c r="AC219" s="22" t="s">
        <v>47</v>
      </c>
      <c r="AD219" s="21" t="s">
        <v>603</v>
      </c>
    </row>
    <row r="220" spans="1:30" x14ac:dyDescent="0.25">
      <c r="A220" s="19" t="s">
        <v>11</v>
      </c>
      <c r="B220" s="22" t="s">
        <v>966</v>
      </c>
      <c r="C220" s="28">
        <v>5377391185</v>
      </c>
      <c r="D220" s="22" t="s">
        <v>14</v>
      </c>
      <c r="E220" s="21" t="str">
        <f>IFERROR(VLOOKUP(D220,Tanımlar!C:D,2,0),"- - -")</f>
        <v>DAĞITIM</v>
      </c>
      <c r="F220" s="28">
        <v>600750</v>
      </c>
      <c r="G220" s="22" t="str">
        <f>IFERROR(VLOOKUP(F220,'Personel Bilgi'!A:B,2,0),"- - - ")</f>
        <v>NURGUL COTUR</v>
      </c>
      <c r="H220" s="22" t="str">
        <f>IFERROR(VLOOKUP(F220,'Personel Bilgi'!A:D,3,0),"- - -")</f>
        <v>FERHAT DEMIR</v>
      </c>
      <c r="I220" s="22" t="str">
        <f>IFERROR(VLOOKUP(F220,'Personel Bilgi'!A:D,4,0),"- - -")</f>
        <v>ANKARA</v>
      </c>
      <c r="J220" s="22" t="str">
        <f>IFERROR(VLOOKUP(F220,'Personel Bilgi'!A:E,5,0),"- - -")</f>
        <v>MÜŞTERİ TEMSİLCİSİ</v>
      </c>
      <c r="K220" s="22" t="s">
        <v>54</v>
      </c>
      <c r="L220" s="21" t="s">
        <v>97</v>
      </c>
      <c r="M220" s="21" t="s">
        <v>734</v>
      </c>
      <c r="N220" s="36">
        <v>46007</v>
      </c>
      <c r="O220" s="36">
        <v>46008</v>
      </c>
      <c r="P220" s="21" t="s">
        <v>81</v>
      </c>
      <c r="Q220" s="37" t="s">
        <v>735</v>
      </c>
      <c r="R220" s="21" t="s">
        <v>790</v>
      </c>
      <c r="S220" s="21" t="s">
        <v>92</v>
      </c>
      <c r="T220" s="21" t="s">
        <v>95</v>
      </c>
      <c r="U220" s="21">
        <v>100</v>
      </c>
      <c r="V220" s="21" t="s">
        <v>736</v>
      </c>
      <c r="W220" s="28">
        <v>500112</v>
      </c>
      <c r="X220" s="19" t="str">
        <f>IFERROR(VLOOKUP(W220,'Personel Bilgi'!A:B,2,0),"---")</f>
        <v>RUMEYSA TOZLU</v>
      </c>
      <c r="Y220" s="19" t="str">
        <f>IFERROR(VLOOKUP(W220,'Personel Bilgi'!A:C,3,0),"---")</f>
        <v>METEHAN EMRE SIRMALI</v>
      </c>
      <c r="Z220" s="22" t="s">
        <v>95</v>
      </c>
      <c r="AA220" s="22" t="s">
        <v>617</v>
      </c>
      <c r="AB220" s="22" t="s">
        <v>54</v>
      </c>
      <c r="AC220" s="21" t="s">
        <v>97</v>
      </c>
      <c r="AD220" s="21" t="s">
        <v>734</v>
      </c>
    </row>
    <row r="221" spans="1:30" x14ac:dyDescent="0.25">
      <c r="A221" s="19" t="s">
        <v>11</v>
      </c>
      <c r="B221" s="22" t="s">
        <v>966</v>
      </c>
      <c r="C221" s="28">
        <v>5324801493</v>
      </c>
      <c r="D221" s="22" t="s">
        <v>14</v>
      </c>
      <c r="E221" s="21" t="str">
        <f>IFERROR(VLOOKUP(D221,Tanımlar!C:D,2,0),"- - -")</f>
        <v>DAĞITIM</v>
      </c>
      <c r="F221" s="28">
        <v>110790</v>
      </c>
      <c r="G221" s="22" t="str">
        <f>IFERROR(VLOOKUP(F221,'Personel Bilgi'!A:B,2,0),"- - - ")</f>
        <v>MURAT BETOS</v>
      </c>
      <c r="H221" s="22" t="str">
        <f>IFERROR(VLOOKUP(F221,'Personel Bilgi'!A:D,3,0),"- - -")</f>
        <v>SEDA SEBU</v>
      </c>
      <c r="I221" s="22" t="str">
        <f>IFERROR(VLOOKUP(F221,'Personel Bilgi'!A:D,4,0),"- - -")</f>
        <v>KARS</v>
      </c>
      <c r="J221" s="22" t="str">
        <f>IFERROR(VLOOKUP(F221,'Personel Bilgi'!A:E,5,0),"- - -")</f>
        <v>MÜŞTERİ TEMSİLCİSİ</v>
      </c>
      <c r="K221" s="22" t="s">
        <v>54</v>
      </c>
      <c r="L221" s="21" t="s">
        <v>97</v>
      </c>
      <c r="M221" s="21" t="s">
        <v>734</v>
      </c>
      <c r="N221" s="36">
        <v>46007</v>
      </c>
      <c r="O221" s="36">
        <v>46008</v>
      </c>
      <c r="P221" s="21" t="s">
        <v>81</v>
      </c>
      <c r="Q221" s="37" t="s">
        <v>735</v>
      </c>
      <c r="R221" s="21" t="s">
        <v>790</v>
      </c>
      <c r="S221" s="21" t="s">
        <v>92</v>
      </c>
      <c r="T221" s="21" t="s">
        <v>95</v>
      </c>
      <c r="U221" s="21">
        <v>83</v>
      </c>
      <c r="V221" s="21" t="s">
        <v>736</v>
      </c>
      <c r="W221" s="28">
        <v>500112</v>
      </c>
      <c r="X221" s="19" t="str">
        <f>IFERROR(VLOOKUP(W221,'Personel Bilgi'!A:B,2,0),"---")</f>
        <v>RUMEYSA TOZLU</v>
      </c>
      <c r="Y221" s="19" t="str">
        <f>IFERROR(VLOOKUP(W221,'Personel Bilgi'!A:C,3,0),"---")</f>
        <v>METEHAN EMRE SIRMALI</v>
      </c>
      <c r="Z221" s="22" t="s">
        <v>95</v>
      </c>
      <c r="AA221" s="22" t="s">
        <v>617</v>
      </c>
      <c r="AB221" s="22" t="s">
        <v>54</v>
      </c>
      <c r="AC221" s="21" t="s">
        <v>97</v>
      </c>
      <c r="AD221" s="21" t="s">
        <v>734</v>
      </c>
    </row>
    <row r="222" spans="1:30" x14ac:dyDescent="0.25">
      <c r="A222" s="19" t="s">
        <v>11</v>
      </c>
      <c r="B222" s="22" t="s">
        <v>967</v>
      </c>
      <c r="C222" s="28">
        <v>5321666708</v>
      </c>
      <c r="D222" s="22" t="s">
        <v>12</v>
      </c>
      <c r="E222" s="21" t="str">
        <f>IFERROR(VLOOKUP(D222,Tanımlar!C:D,2,0),"- - -")</f>
        <v>DAĞITIM</v>
      </c>
      <c r="F222" s="28">
        <v>500063</v>
      </c>
      <c r="G222" s="22" t="str">
        <f>IFERROR(VLOOKUP(F222,'Personel Bilgi'!A:B,2,0),"- - - ")</f>
        <v>YUSUF ISLAM BOZKURT</v>
      </c>
      <c r="H222" s="22" t="str">
        <f>IFERROR(VLOOKUP(F222,'Personel Bilgi'!A:D,3,0),"- - -")</f>
        <v>ERDOGAN DURUK</v>
      </c>
      <c r="I222" s="22" t="str">
        <f>IFERROR(VLOOKUP(F222,'Personel Bilgi'!A:D,4,0),"- - -")</f>
        <v>ERZURUM</v>
      </c>
      <c r="J222" s="22" t="str">
        <f>IFERROR(VLOOKUP(F222,'Personel Bilgi'!A:E,5,0),"- - -")</f>
        <v>MÜŞTERİ TEMSİLCİSİ</v>
      </c>
      <c r="K222" s="22" t="s">
        <v>49</v>
      </c>
      <c r="L222" s="21" t="s">
        <v>97</v>
      </c>
      <c r="M222" s="21" t="s">
        <v>734</v>
      </c>
      <c r="N222" s="36">
        <v>46007</v>
      </c>
      <c r="O222" s="36">
        <v>46008</v>
      </c>
      <c r="P222" s="21" t="s">
        <v>81</v>
      </c>
      <c r="Q222" s="37" t="s">
        <v>735</v>
      </c>
      <c r="R222" s="21" t="s">
        <v>790</v>
      </c>
      <c r="S222" s="21" t="s">
        <v>92</v>
      </c>
      <c r="T222" s="21" t="s">
        <v>94</v>
      </c>
      <c r="U222" s="21">
        <v>0</v>
      </c>
      <c r="V222" s="21" t="s">
        <v>736</v>
      </c>
      <c r="W222" s="28">
        <v>500078</v>
      </c>
      <c r="X222" s="19" t="str">
        <f>IFERROR(VLOOKUP(W222,'Personel Bilgi'!A:B,2,0),"---")</f>
        <v>DUYGU DEMIRCI</v>
      </c>
      <c r="Y222" s="19" t="str">
        <f>IFERROR(VLOOKUP(W222,'Personel Bilgi'!A:C,3,0),"---")</f>
        <v>SALTUK BUGRAHAN TAYMUS</v>
      </c>
      <c r="Z222" s="22" t="s">
        <v>94</v>
      </c>
      <c r="AA222" s="22" t="s">
        <v>616</v>
      </c>
      <c r="AB222" s="22" t="s">
        <v>49</v>
      </c>
      <c r="AC222" s="21" t="s">
        <v>97</v>
      </c>
      <c r="AD222" s="21" t="s">
        <v>734</v>
      </c>
    </row>
    <row r="223" spans="1:30" x14ac:dyDescent="0.25">
      <c r="A223" s="19" t="s">
        <v>11</v>
      </c>
      <c r="B223" s="22" t="s">
        <v>968</v>
      </c>
      <c r="C223" s="28">
        <v>5362609796</v>
      </c>
      <c r="D223" s="22" t="s">
        <v>14</v>
      </c>
      <c r="E223" s="22" t="str">
        <f>IFERROR(VLOOKUP(D223,Tanımlar!C:D,2,0),"- - -")</f>
        <v>DAĞITIM</v>
      </c>
      <c r="F223" s="28">
        <v>111086</v>
      </c>
      <c r="G223" s="22" t="str">
        <f>IFERROR(VLOOKUP(F223,'Personel Bilgi'!A:B,2,0),"- - - ")</f>
        <v>DIDEM CILKASIT</v>
      </c>
      <c r="H223" s="22" t="str">
        <f>IFERROR(VLOOKUP(F223,'Personel Bilgi'!A:D,3,0),"- - -")</f>
        <v>CEYHAN AYRIC</v>
      </c>
      <c r="I223" s="22" t="str">
        <f>IFERROR(VLOOKUP(F223,'Personel Bilgi'!A:D,4,0),"- - -")</f>
        <v>KARS</v>
      </c>
      <c r="J223" s="22" t="str">
        <f>IFERROR(VLOOKUP(F223,'Personel Bilgi'!A:E,5,0),"- - -")</f>
        <v>MÜŞTERİ TEMSİLCİSİ</v>
      </c>
      <c r="K223" s="22" t="s">
        <v>49</v>
      </c>
      <c r="L223" s="22" t="s">
        <v>47</v>
      </c>
      <c r="M223" s="21" t="s">
        <v>603</v>
      </c>
      <c r="N223" s="36">
        <v>46008</v>
      </c>
      <c r="O223" s="36">
        <v>46008</v>
      </c>
      <c r="P223" s="21" t="s">
        <v>80</v>
      </c>
      <c r="Q223" s="37" t="s">
        <v>735</v>
      </c>
      <c r="R223" s="21" t="s">
        <v>790</v>
      </c>
      <c r="S223" s="21" t="s">
        <v>92</v>
      </c>
      <c r="T223" s="21" t="s">
        <v>95</v>
      </c>
      <c r="U223" s="21">
        <v>100</v>
      </c>
      <c r="V223" s="21" t="s">
        <v>736</v>
      </c>
      <c r="W223" s="28">
        <v>111086</v>
      </c>
      <c r="X223" s="19" t="str">
        <f>IFERROR(VLOOKUP(W223,'Personel Bilgi'!A:B,2,0),"---")</f>
        <v>DIDEM CILKASIT</v>
      </c>
      <c r="Y223" s="19" t="str">
        <f>IFERROR(VLOOKUP(W223,'Personel Bilgi'!A:C,3,0),"---")</f>
        <v>CEYHAN AYRIC</v>
      </c>
      <c r="Z223" s="22" t="s">
        <v>95</v>
      </c>
      <c r="AA223" s="22" t="s">
        <v>617</v>
      </c>
      <c r="AB223" s="22" t="s">
        <v>49</v>
      </c>
      <c r="AC223" s="22" t="s">
        <v>47</v>
      </c>
      <c r="AD223" s="21" t="s">
        <v>603</v>
      </c>
    </row>
    <row r="224" spans="1:30" x14ac:dyDescent="0.25">
      <c r="A224" s="19" t="s">
        <v>11</v>
      </c>
      <c r="B224" s="22" t="s">
        <v>969</v>
      </c>
      <c r="C224" s="28">
        <v>5522684934</v>
      </c>
      <c r="D224" s="22" t="s">
        <v>14</v>
      </c>
      <c r="E224" s="22" t="str">
        <f>IFERROR(VLOOKUP(D224,Tanımlar!C:D,2,0),"- - -")</f>
        <v>DAĞITIM</v>
      </c>
      <c r="F224" s="28">
        <v>600381</v>
      </c>
      <c r="G224" s="22" t="str">
        <f>IFERROR(VLOOKUP(F224,'Personel Bilgi'!A:B,2,0),"- - - ")</f>
        <v>ALI TETIK</v>
      </c>
      <c r="H224" s="22" t="str">
        <f>IFERROR(VLOOKUP(F224,'Personel Bilgi'!A:D,3,0),"- - -")</f>
        <v>GORKEM SERT</v>
      </c>
      <c r="I224" s="22" t="str">
        <f>IFERROR(VLOOKUP(F224,'Personel Bilgi'!A:D,4,0),"- - -")</f>
        <v>ANKARA</v>
      </c>
      <c r="J224" s="22" t="str">
        <f>IFERROR(VLOOKUP(F224,'Personel Bilgi'!A:E,5,0),"- - -")</f>
        <v>MÜŞTERİ TEMSİLCİSİ</v>
      </c>
      <c r="K224" s="22" t="s">
        <v>70</v>
      </c>
      <c r="L224" s="21" t="s">
        <v>97</v>
      </c>
      <c r="M224" s="21" t="s">
        <v>734</v>
      </c>
      <c r="N224" s="36">
        <v>46008</v>
      </c>
      <c r="O224" s="36">
        <v>46008</v>
      </c>
      <c r="P224" s="21" t="s">
        <v>81</v>
      </c>
      <c r="Q224" s="37" t="s">
        <v>735</v>
      </c>
      <c r="R224" s="21" t="s">
        <v>790</v>
      </c>
      <c r="S224" s="21" t="s">
        <v>92</v>
      </c>
      <c r="T224" s="21" t="s">
        <v>95</v>
      </c>
      <c r="U224" s="21">
        <v>100</v>
      </c>
      <c r="V224" s="21" t="s">
        <v>736</v>
      </c>
      <c r="W224" s="28">
        <v>500046</v>
      </c>
      <c r="X224" s="19" t="str">
        <f>IFERROR(VLOOKUP(W224,'Personel Bilgi'!A:B,2,0),"---")</f>
        <v>ESRA TOPAL</v>
      </c>
      <c r="Y224" s="19" t="str">
        <f>IFERROR(VLOOKUP(W224,'Personel Bilgi'!A:C,3,0),"---")</f>
        <v>MEHMET ALI SAVAN</v>
      </c>
      <c r="Z224" s="22" t="s">
        <v>94</v>
      </c>
      <c r="AA224" s="22" t="s">
        <v>616</v>
      </c>
      <c r="AB224" s="22" t="s">
        <v>70</v>
      </c>
      <c r="AC224" s="21" t="s">
        <v>97</v>
      </c>
      <c r="AD224" s="21" t="s">
        <v>734</v>
      </c>
    </row>
    <row r="225" spans="1:30" x14ac:dyDescent="0.25">
      <c r="A225" s="19" t="s">
        <v>11</v>
      </c>
      <c r="B225" s="22" t="s">
        <v>970</v>
      </c>
      <c r="C225" s="28">
        <v>5411522658</v>
      </c>
      <c r="D225" s="22" t="s">
        <v>14</v>
      </c>
      <c r="E225" s="22" t="str">
        <f>IFERROR(VLOOKUP(D225,Tanımlar!C:D,2,0),"- - -")</f>
        <v>DAĞITIM</v>
      </c>
      <c r="F225" s="28">
        <v>600651</v>
      </c>
      <c r="G225" s="22" t="str">
        <f>IFERROR(VLOOKUP(F225,'Personel Bilgi'!A:B,2,0),"- - - ")</f>
        <v>HALENUR APAYDIN</v>
      </c>
      <c r="H225" s="22" t="str">
        <f>IFERROR(VLOOKUP(F225,'Personel Bilgi'!A:D,3,0),"- - -")</f>
        <v>GORKEM SERT</v>
      </c>
      <c r="I225" s="22" t="str">
        <f>IFERROR(VLOOKUP(F225,'Personel Bilgi'!A:D,4,0),"- - -")</f>
        <v>ANKARA</v>
      </c>
      <c r="J225" s="22" t="str">
        <f>IFERROR(VLOOKUP(F225,'Personel Bilgi'!A:E,5,0),"- - -")</f>
        <v>MÜŞTERİ TEMSİLCİSİ</v>
      </c>
      <c r="K225" s="22" t="s">
        <v>49</v>
      </c>
      <c r="L225" s="21" t="s">
        <v>41</v>
      </c>
      <c r="M225" s="21" t="s">
        <v>42</v>
      </c>
      <c r="N225" s="36">
        <v>46008</v>
      </c>
      <c r="O225" s="36">
        <v>46008</v>
      </c>
      <c r="P225" s="19" t="s">
        <v>79</v>
      </c>
      <c r="Q225" s="37" t="s">
        <v>735</v>
      </c>
      <c r="R225" s="21" t="s">
        <v>790</v>
      </c>
      <c r="S225" s="21" t="s">
        <v>92</v>
      </c>
      <c r="T225" s="21" t="s">
        <v>94</v>
      </c>
      <c r="U225" s="21">
        <v>0</v>
      </c>
      <c r="V225" s="21" t="s">
        <v>736</v>
      </c>
      <c r="W225" s="28">
        <v>600747</v>
      </c>
      <c r="X225" s="19" t="str">
        <f>IFERROR(VLOOKUP(W225,'Personel Bilgi'!A:B,2,0),"---")</f>
        <v>MELIKE IPEK</v>
      </c>
      <c r="Y225" s="19" t="str">
        <f>IFERROR(VLOOKUP(W225,'Personel Bilgi'!A:C,3,0),"---")</f>
        <v>ASYA DAG</v>
      </c>
      <c r="Z225" s="22" t="s">
        <v>95</v>
      </c>
      <c r="AA225" s="22" t="s">
        <v>617</v>
      </c>
      <c r="AB225" s="22" t="s">
        <v>49</v>
      </c>
      <c r="AC225" s="21" t="s">
        <v>41</v>
      </c>
      <c r="AD225" s="21" t="s">
        <v>42</v>
      </c>
    </row>
    <row r="226" spans="1:30" x14ac:dyDescent="0.25">
      <c r="A226" s="19" t="s">
        <v>11</v>
      </c>
      <c r="B226" s="22" t="s">
        <v>971</v>
      </c>
      <c r="C226" s="28">
        <v>5432895441</v>
      </c>
      <c r="D226" s="22" t="s">
        <v>14</v>
      </c>
      <c r="E226" s="22" t="str">
        <f>IFERROR(VLOOKUP(D226,Tanımlar!C:D,2,0),"- - -")</f>
        <v>DAĞITIM</v>
      </c>
      <c r="F226" s="28">
        <v>500187</v>
      </c>
      <c r="G226" s="22" t="str">
        <f>IFERROR(VLOOKUP(F226,'Personel Bilgi'!A:B,2,0),"- - - ")</f>
        <v>NESLIHAN HOS</v>
      </c>
      <c r="H226" s="22" t="str">
        <f>IFERROR(VLOOKUP(F226,'Personel Bilgi'!A:D,3,0),"- - -")</f>
        <v>SAMET KOCABEYOGLU</v>
      </c>
      <c r="I226" s="22" t="str">
        <f>IFERROR(VLOOKUP(F226,'Personel Bilgi'!A:D,4,0),"- - -")</f>
        <v>ERZURUM</v>
      </c>
      <c r="J226" s="22" t="str">
        <f>IFERROR(VLOOKUP(F226,'Personel Bilgi'!A:E,5,0),"- - -")</f>
        <v>MÜŞTERİ TEMSİLCİSİ</v>
      </c>
      <c r="K226" s="22" t="s">
        <v>59</v>
      </c>
      <c r="L226" s="21" t="s">
        <v>97</v>
      </c>
      <c r="M226" s="21" t="s">
        <v>24</v>
      </c>
      <c r="N226" s="36">
        <v>46003</v>
      </c>
      <c r="O226" s="36">
        <v>46008</v>
      </c>
      <c r="P226" s="19" t="s">
        <v>79</v>
      </c>
      <c r="Q226" s="37" t="s">
        <v>735</v>
      </c>
      <c r="R226" s="21" t="s">
        <v>790</v>
      </c>
      <c r="S226" s="21" t="s">
        <v>92</v>
      </c>
      <c r="T226" s="21" t="s">
        <v>94</v>
      </c>
      <c r="U226" s="21">
        <v>0</v>
      </c>
      <c r="V226" s="21" t="s">
        <v>736</v>
      </c>
      <c r="W226" s="28">
        <v>111214</v>
      </c>
      <c r="X226" s="19" t="str">
        <f>IFERROR(VLOOKUP(W226,'Personel Bilgi'!A:B,2,0),"---")</f>
        <v>BERK KAAN TUNA</v>
      </c>
      <c r="Y226" s="19" t="str">
        <f>IFERROR(VLOOKUP(W226,'Personel Bilgi'!A:C,3,0),"---")</f>
        <v>YAREN OZAYAG</v>
      </c>
      <c r="Z226" s="22" t="s">
        <v>95</v>
      </c>
      <c r="AA226" s="22" t="s">
        <v>617</v>
      </c>
      <c r="AB226" s="22" t="s">
        <v>59</v>
      </c>
      <c r="AC226" s="22" t="s">
        <v>97</v>
      </c>
      <c r="AD226" s="21" t="s">
        <v>24</v>
      </c>
    </row>
    <row r="227" spans="1:30" x14ac:dyDescent="0.25">
      <c r="A227" s="19" t="s">
        <v>11</v>
      </c>
      <c r="B227" s="22" t="s">
        <v>972</v>
      </c>
      <c r="C227" s="28">
        <v>5412242095</v>
      </c>
      <c r="D227" s="22" t="s">
        <v>14</v>
      </c>
      <c r="E227" s="22" t="str">
        <f>IFERROR(VLOOKUP(D227,Tanımlar!C:D,2,0),"- - -")</f>
        <v>DAĞITIM</v>
      </c>
      <c r="F227" s="28">
        <v>111199</v>
      </c>
      <c r="G227" s="22" t="str">
        <f>IFERROR(VLOOKUP(F227,'Personel Bilgi'!A:B,2,0),"- - - ")</f>
        <v>UMMUGULSUM BEKI</v>
      </c>
      <c r="H227" s="22" t="str">
        <f>IFERROR(VLOOKUP(F227,'Personel Bilgi'!A:D,3,0),"- - -")</f>
        <v>MUHAMMET AKSU</v>
      </c>
      <c r="I227" s="22" t="str">
        <f>IFERROR(VLOOKUP(F227,'Personel Bilgi'!A:D,4,0),"- - -")</f>
        <v>KARS</v>
      </c>
      <c r="J227" s="22" t="str">
        <f>IFERROR(VLOOKUP(F227,'Personel Bilgi'!A:E,5,0),"- - -")</f>
        <v>MÜŞTERİ TEMSİLCİSİ</v>
      </c>
      <c r="K227" s="22" t="s">
        <v>49</v>
      </c>
      <c r="L227" s="21" t="s">
        <v>41</v>
      </c>
      <c r="M227" s="21" t="s">
        <v>42</v>
      </c>
      <c r="N227" s="36">
        <v>46003</v>
      </c>
      <c r="O227" s="36">
        <v>46009</v>
      </c>
      <c r="P227" s="21" t="s">
        <v>1145</v>
      </c>
      <c r="Q227" s="37" t="s">
        <v>735</v>
      </c>
      <c r="R227" s="19" t="s">
        <v>86</v>
      </c>
      <c r="S227" s="21" t="s">
        <v>92</v>
      </c>
      <c r="T227" s="21" t="s">
        <v>95</v>
      </c>
      <c r="U227" s="21">
        <v>54</v>
      </c>
      <c r="V227" s="21" t="s">
        <v>736</v>
      </c>
      <c r="W227" s="28">
        <v>500077</v>
      </c>
      <c r="X227" s="19" t="str">
        <f>IFERROR(VLOOKUP(W227,'Personel Bilgi'!A:B,2,0),"---")</f>
        <v>BURCU AYDIN</v>
      </c>
      <c r="Y227" s="19" t="str">
        <f>IFERROR(VLOOKUP(W227,'Personel Bilgi'!A:C,3,0),"---")</f>
        <v>SALTUK BUGRAHAN TAYMUS</v>
      </c>
      <c r="Z227" s="22" t="s">
        <v>95</v>
      </c>
      <c r="AA227" s="22" t="s">
        <v>617</v>
      </c>
      <c r="AB227" s="22" t="s">
        <v>49</v>
      </c>
      <c r="AC227" s="21" t="s">
        <v>41</v>
      </c>
      <c r="AD227" s="21" t="s">
        <v>42</v>
      </c>
    </row>
    <row r="228" spans="1:30" x14ac:dyDescent="0.25">
      <c r="A228" s="19" t="s">
        <v>11</v>
      </c>
      <c r="B228" s="20" t="s">
        <v>973</v>
      </c>
      <c r="C228" s="28">
        <v>5447850810</v>
      </c>
      <c r="D228" s="22" t="s">
        <v>14</v>
      </c>
      <c r="E228" s="22" t="str">
        <f>IFERROR(VLOOKUP(D228,Tanımlar!C:D,2,0),"- - -")</f>
        <v>DAĞITIM</v>
      </c>
      <c r="F228" s="28">
        <v>111192</v>
      </c>
      <c r="G228" s="22" t="str">
        <f>IFERROR(VLOOKUP(F228,'Personel Bilgi'!A:B,2,0),"- - - ")</f>
        <v>RABIA TEMUR</v>
      </c>
      <c r="H228" s="22" t="str">
        <f>IFERROR(VLOOKUP(F228,'Personel Bilgi'!A:D,3,0),"- - -")</f>
        <v>MUSTAFA OZAYAG</v>
      </c>
      <c r="I228" s="22" t="str">
        <f>IFERROR(VLOOKUP(F228,'Personel Bilgi'!A:D,4,0),"- - -")</f>
        <v>KARS</v>
      </c>
      <c r="J228" s="22" t="str">
        <f>IFERROR(VLOOKUP(F228,'Personel Bilgi'!A:E,5,0),"- - -")</f>
        <v>MÜŞTERİ TEMSİLCİSİ</v>
      </c>
      <c r="K228" s="22" t="s">
        <v>70</v>
      </c>
      <c r="L228" s="21" t="s">
        <v>97</v>
      </c>
      <c r="M228" s="21" t="s">
        <v>39</v>
      </c>
      <c r="N228" s="36">
        <v>46008</v>
      </c>
      <c r="O228" s="36">
        <v>46009</v>
      </c>
      <c r="P228" s="21" t="s">
        <v>81</v>
      </c>
      <c r="Q228" s="37" t="s">
        <v>735</v>
      </c>
      <c r="R228" s="19" t="s">
        <v>86</v>
      </c>
      <c r="S228" s="21" t="s">
        <v>92</v>
      </c>
      <c r="T228" s="21" t="s">
        <v>95</v>
      </c>
      <c r="U228" s="21">
        <v>70</v>
      </c>
      <c r="V228" s="21" t="s">
        <v>736</v>
      </c>
      <c r="W228" s="28">
        <v>500176</v>
      </c>
      <c r="X228" s="19" t="str">
        <f>IFERROR(VLOOKUP(W228,'Personel Bilgi'!A:B,2,0),"---")</f>
        <v>GAMZE DONMEZ</v>
      </c>
      <c r="Y228" s="19" t="str">
        <f>IFERROR(VLOOKUP(W228,'Personel Bilgi'!A:C,3,0),"---")</f>
        <v>MEHMET ALI SAVAN</v>
      </c>
      <c r="Z228" s="22" t="s">
        <v>95</v>
      </c>
      <c r="AA228" s="22" t="s">
        <v>617</v>
      </c>
      <c r="AB228" s="22" t="s">
        <v>70</v>
      </c>
      <c r="AC228" s="21" t="s">
        <v>97</v>
      </c>
      <c r="AD228" s="21" t="s">
        <v>734</v>
      </c>
    </row>
    <row r="229" spans="1:30" x14ac:dyDescent="0.25">
      <c r="A229" s="19" t="s">
        <v>11</v>
      </c>
      <c r="B229" s="22" t="s">
        <v>974</v>
      </c>
      <c r="C229" s="28">
        <v>5352484818</v>
      </c>
      <c r="D229" s="22" t="s">
        <v>14</v>
      </c>
      <c r="E229" s="22" t="str">
        <f>IFERROR(VLOOKUP(D229,Tanımlar!C:D,2,0),"- - -")</f>
        <v>DAĞITIM</v>
      </c>
      <c r="F229" s="28">
        <v>600553</v>
      </c>
      <c r="G229" s="22" t="str">
        <f>IFERROR(VLOOKUP(F229,'Personel Bilgi'!A:B,2,0),"- - - ")</f>
        <v>ILKNUR BEKTAS</v>
      </c>
      <c r="H229" s="22" t="str">
        <f>IFERROR(VLOOKUP(F229,'Personel Bilgi'!A:D,3,0),"- - -")</f>
        <v>FERHAT DEMIR</v>
      </c>
      <c r="I229" s="22" t="str">
        <f>IFERROR(VLOOKUP(F229,'Personel Bilgi'!A:D,4,0),"- - -")</f>
        <v>ANKARA</v>
      </c>
      <c r="J229" s="22" t="str">
        <f>IFERROR(VLOOKUP(F229,'Personel Bilgi'!A:E,5,0),"- - -")</f>
        <v>MÜŞTERİ TEMSİLCİSİ</v>
      </c>
      <c r="K229" s="22" t="s">
        <v>50</v>
      </c>
      <c r="L229" s="21" t="s">
        <v>97</v>
      </c>
      <c r="M229" s="21" t="s">
        <v>734</v>
      </c>
      <c r="N229" s="36">
        <v>46009</v>
      </c>
      <c r="O229" s="36">
        <v>46009</v>
      </c>
      <c r="P229" s="21" t="s">
        <v>81</v>
      </c>
      <c r="Q229" s="37" t="s">
        <v>735</v>
      </c>
      <c r="R229" s="19" t="s">
        <v>86</v>
      </c>
      <c r="S229" s="21" t="s">
        <v>92</v>
      </c>
      <c r="T229" s="21" t="s">
        <v>95</v>
      </c>
      <c r="U229" s="21">
        <v>41</v>
      </c>
      <c r="V229" s="21" t="s">
        <v>736</v>
      </c>
      <c r="W229" s="28">
        <v>110424</v>
      </c>
      <c r="X229" s="19" t="str">
        <f>IFERROR(VLOOKUP(W229,'Personel Bilgi'!A:B,2,0),"---")</f>
        <v>ONUR POLAT</v>
      </c>
      <c r="Y229" s="19" t="str">
        <f>IFERROR(VLOOKUP(W229,'Personel Bilgi'!A:C,3,0),"---")</f>
        <v>MUSTAFA OZAYAG</v>
      </c>
      <c r="Z229" s="19" t="s">
        <v>95</v>
      </c>
      <c r="AA229" s="22" t="s">
        <v>617</v>
      </c>
      <c r="AB229" s="22" t="s">
        <v>50</v>
      </c>
      <c r="AC229" s="21" t="s">
        <v>97</v>
      </c>
      <c r="AD229" s="21" t="s">
        <v>734</v>
      </c>
    </row>
    <row r="230" spans="1:30" x14ac:dyDescent="0.25">
      <c r="A230" s="19" t="s">
        <v>11</v>
      </c>
      <c r="B230" s="22" t="s">
        <v>975</v>
      </c>
      <c r="C230" s="28">
        <v>5365503831</v>
      </c>
      <c r="D230" s="22" t="s">
        <v>14</v>
      </c>
      <c r="E230" s="22" t="str">
        <f>IFERROR(VLOOKUP(D230,Tanımlar!C:D,2,0),"- - -")</f>
        <v>DAĞITIM</v>
      </c>
      <c r="F230" s="28">
        <v>110716</v>
      </c>
      <c r="G230" s="22" t="str">
        <f>IFERROR(VLOOKUP(F230,'Personel Bilgi'!A:B,2,0),"- - - ")</f>
        <v>SERDAR SENGUN</v>
      </c>
      <c r="H230" s="22" t="str">
        <f>IFERROR(VLOOKUP(F230,'Personel Bilgi'!A:D,3,0),"- - -")</f>
        <v>MUSTAFA OZAYAG</v>
      </c>
      <c r="I230" s="22" t="str">
        <f>IFERROR(VLOOKUP(F230,'Personel Bilgi'!A:D,4,0),"- - -")</f>
        <v>KARS</v>
      </c>
      <c r="J230" s="22" t="str">
        <f>IFERROR(VLOOKUP(F230,'Personel Bilgi'!A:E,5,0),"- - -")</f>
        <v>MÜŞTERİ TEMSİLCİSİ</v>
      </c>
      <c r="K230" s="22" t="s">
        <v>49</v>
      </c>
      <c r="L230" s="21" t="s">
        <v>47</v>
      </c>
      <c r="M230" s="21" t="s">
        <v>603</v>
      </c>
      <c r="N230" s="36">
        <v>46009</v>
      </c>
      <c r="O230" s="36">
        <v>46009</v>
      </c>
      <c r="P230" s="21" t="s">
        <v>80</v>
      </c>
      <c r="Q230" s="37" t="s">
        <v>735</v>
      </c>
      <c r="R230" s="19" t="s">
        <v>86</v>
      </c>
      <c r="S230" s="21" t="s">
        <v>92</v>
      </c>
      <c r="T230" s="21" t="s">
        <v>95</v>
      </c>
      <c r="U230" s="21">
        <v>100</v>
      </c>
      <c r="V230" s="21" t="s">
        <v>736</v>
      </c>
      <c r="W230" s="28">
        <v>111240</v>
      </c>
      <c r="X230" s="19" t="str">
        <f>IFERROR(VLOOKUP(W230,'Personel Bilgi'!A:B,2,0),"---")</f>
        <v>BERAT KILICARSLAN</v>
      </c>
      <c r="Y230" s="19" t="str">
        <f>IFERROR(VLOOKUP(W230,'Personel Bilgi'!A:C,3,0),"---")</f>
        <v>YAPRAK KARAKOC</v>
      </c>
      <c r="Z230" s="19" t="s">
        <v>95</v>
      </c>
      <c r="AA230" s="22" t="s">
        <v>617</v>
      </c>
      <c r="AB230" s="22" t="s">
        <v>49</v>
      </c>
      <c r="AC230" s="22" t="s">
        <v>47</v>
      </c>
      <c r="AD230" s="21" t="s">
        <v>603</v>
      </c>
    </row>
    <row r="231" spans="1:30" x14ac:dyDescent="0.25">
      <c r="A231" s="19" t="s">
        <v>11</v>
      </c>
      <c r="B231" s="22" t="s">
        <v>976</v>
      </c>
      <c r="C231" s="28">
        <v>5300409519</v>
      </c>
      <c r="D231" s="22" t="s">
        <v>14</v>
      </c>
      <c r="E231" s="22" t="str">
        <f>IFERROR(VLOOKUP(D231,Tanımlar!C:D,2,0),"- - -")</f>
        <v>DAĞITIM</v>
      </c>
      <c r="F231" s="28">
        <v>600189</v>
      </c>
      <c r="G231" s="22" t="str">
        <f>IFERROR(VLOOKUP(F231,'Personel Bilgi'!A:B,2,0),"- - - ")</f>
        <v xml:space="preserve">MEHMET ALI SAVAN </v>
      </c>
      <c r="H231" s="22" t="str">
        <f>IFERROR(VLOOKUP(F231,'Personel Bilgi'!A:D,3,0),"- - -")</f>
        <v xml:space="preserve">MEHMET ALI SAVAN </v>
      </c>
      <c r="I231" s="22" t="str">
        <f>IFERROR(VLOOKUP(F231,'Personel Bilgi'!A:D,4,0),"- - -")</f>
        <v>ERZURUM</v>
      </c>
      <c r="J231" s="22" t="str">
        <f>IFERROR(VLOOKUP(F231,'Personel Bilgi'!A:E,5,0),"- - -")</f>
        <v>TAKIM LİDERİ</v>
      </c>
      <c r="K231" s="22" t="s">
        <v>49</v>
      </c>
      <c r="L231" s="21" t="s">
        <v>47</v>
      </c>
      <c r="M231" s="21" t="s">
        <v>604</v>
      </c>
      <c r="N231" s="36">
        <v>46007</v>
      </c>
      <c r="O231" s="36">
        <v>46009</v>
      </c>
      <c r="P231" s="21" t="s">
        <v>80</v>
      </c>
      <c r="Q231" s="37" t="s">
        <v>735</v>
      </c>
      <c r="R231" s="19" t="s">
        <v>86</v>
      </c>
      <c r="S231" s="21" t="s">
        <v>93</v>
      </c>
      <c r="T231" s="21" t="s">
        <v>95</v>
      </c>
      <c r="U231" s="21" t="s">
        <v>735</v>
      </c>
      <c r="V231" s="21" t="s">
        <v>736</v>
      </c>
      <c r="W231" s="28">
        <v>500021</v>
      </c>
      <c r="X231" s="19" t="str">
        <f>IFERROR(VLOOKUP(W231,'Personel Bilgi'!A:B,2,0),"---")</f>
        <v>ILHAM YILMAZ</v>
      </c>
      <c r="Y231" s="19" t="str">
        <f>IFERROR(VLOOKUP(W231,'Personel Bilgi'!A:C,3,0),"---")</f>
        <v>ERDOGAN DURUK</v>
      </c>
      <c r="Z231" s="19" t="s">
        <v>95</v>
      </c>
      <c r="AA231" s="22" t="s">
        <v>617</v>
      </c>
      <c r="AB231" s="22" t="s">
        <v>49</v>
      </c>
      <c r="AC231" s="22" t="s">
        <v>47</v>
      </c>
      <c r="AD231" s="21" t="s">
        <v>604</v>
      </c>
    </row>
    <row r="232" spans="1:30" x14ac:dyDescent="0.25">
      <c r="A232" s="19" t="s">
        <v>11</v>
      </c>
      <c r="B232" s="20" t="s">
        <v>973</v>
      </c>
      <c r="C232" s="28">
        <v>5447850810</v>
      </c>
      <c r="D232" s="22" t="s">
        <v>14</v>
      </c>
      <c r="E232" s="22" t="str">
        <f>IFERROR(VLOOKUP(D232,Tanımlar!C:D,2,0),"- - -")</f>
        <v>DAĞITIM</v>
      </c>
      <c r="F232" s="28">
        <v>111236</v>
      </c>
      <c r="G232" s="22" t="str">
        <f>IFERROR(VLOOKUP(F232,'Personel Bilgi'!A:B,2,0),"- - - ")</f>
        <v>SERCAN KORAY DEMIRAL</v>
      </c>
      <c r="H232" s="22" t="str">
        <f>IFERROR(VLOOKUP(F232,'Personel Bilgi'!A:D,3,0),"- - -")</f>
        <v>MUHAMMET AKSU</v>
      </c>
      <c r="I232" s="22" t="str">
        <f>IFERROR(VLOOKUP(F232,'Personel Bilgi'!A:D,4,0),"- - -")</f>
        <v>KARS</v>
      </c>
      <c r="J232" s="22" t="str">
        <f>IFERROR(VLOOKUP(F232,'Personel Bilgi'!A:E,5,0),"- - -")</f>
        <v>MÜŞTERİ TEMSİLCİSİ</v>
      </c>
      <c r="K232" s="22" t="s">
        <v>70</v>
      </c>
      <c r="L232" s="21" t="s">
        <v>96</v>
      </c>
      <c r="M232" s="21" t="s">
        <v>39</v>
      </c>
      <c r="N232" s="36">
        <v>46008</v>
      </c>
      <c r="O232" s="36">
        <v>46009</v>
      </c>
      <c r="P232" s="21" t="s">
        <v>1145</v>
      </c>
      <c r="Q232" s="37" t="s">
        <v>735</v>
      </c>
      <c r="R232" s="19" t="s">
        <v>86</v>
      </c>
      <c r="S232" s="21" t="s">
        <v>92</v>
      </c>
      <c r="T232" s="21" t="s">
        <v>95</v>
      </c>
      <c r="U232" s="21">
        <v>45</v>
      </c>
      <c r="V232" s="21" t="s">
        <v>736</v>
      </c>
      <c r="W232" s="28">
        <v>500176</v>
      </c>
      <c r="X232" s="19" t="str">
        <f>IFERROR(VLOOKUP(W232,'Personel Bilgi'!A:B,2,0),"---")</f>
        <v>GAMZE DONMEZ</v>
      </c>
      <c r="Y232" s="19" t="str">
        <f>IFERROR(VLOOKUP(W232,'Personel Bilgi'!A:C,3,0),"---")</f>
        <v>MEHMET ALI SAVAN</v>
      </c>
      <c r="Z232" s="19" t="s">
        <v>95</v>
      </c>
      <c r="AA232" s="22" t="s">
        <v>617</v>
      </c>
      <c r="AB232" s="22" t="s">
        <v>70</v>
      </c>
      <c r="AC232" s="21" t="s">
        <v>97</v>
      </c>
      <c r="AD232" s="21" t="s">
        <v>39</v>
      </c>
    </row>
    <row r="233" spans="1:30" x14ac:dyDescent="0.25">
      <c r="A233" s="19" t="s">
        <v>11</v>
      </c>
      <c r="B233" s="20" t="s">
        <v>973</v>
      </c>
      <c r="C233" s="28">
        <v>5447850810</v>
      </c>
      <c r="D233" s="22" t="s">
        <v>14</v>
      </c>
      <c r="E233" s="22" t="str">
        <f>IFERROR(VLOOKUP(D233,Tanımlar!C:D,2,0),"- - -")</f>
        <v>DAĞITIM</v>
      </c>
      <c r="F233" s="28">
        <v>500065</v>
      </c>
      <c r="G233" s="22" t="str">
        <f>IFERROR(VLOOKUP(F233,'Personel Bilgi'!A:B,2,0),"- - - ")</f>
        <v>BATUHAN GULER</v>
      </c>
      <c r="H233" s="22" t="str">
        <f>IFERROR(VLOOKUP(F233,'Personel Bilgi'!A:D,3,0),"- - -")</f>
        <v>SALTUK BUGRAHAN TAYMUS</v>
      </c>
      <c r="I233" s="22" t="str">
        <f>IFERROR(VLOOKUP(F233,'Personel Bilgi'!A:D,4,0),"- - -")</f>
        <v>ERZURUM</v>
      </c>
      <c r="J233" s="22" t="str">
        <f>IFERROR(VLOOKUP(F233,'Personel Bilgi'!A:E,5,0),"- - -")</f>
        <v>MÜŞTERİ TEMSİLCİSİ</v>
      </c>
      <c r="K233" s="22" t="s">
        <v>70</v>
      </c>
      <c r="L233" s="21" t="s">
        <v>96</v>
      </c>
      <c r="M233" s="21" t="s">
        <v>39</v>
      </c>
      <c r="N233" s="36">
        <v>46008</v>
      </c>
      <c r="O233" s="36">
        <v>46009</v>
      </c>
      <c r="P233" s="21" t="s">
        <v>81</v>
      </c>
      <c r="Q233" s="37" t="s">
        <v>735</v>
      </c>
      <c r="R233" s="19" t="s">
        <v>86</v>
      </c>
      <c r="S233" s="21" t="s">
        <v>92</v>
      </c>
      <c r="T233" s="21" t="s">
        <v>95</v>
      </c>
      <c r="U233" s="21">
        <v>100</v>
      </c>
      <c r="V233" s="21" t="s">
        <v>736</v>
      </c>
      <c r="W233" s="28">
        <v>500176</v>
      </c>
      <c r="X233" s="19" t="str">
        <f>IFERROR(VLOOKUP(W233,'Personel Bilgi'!A:B,2,0),"---")</f>
        <v>GAMZE DONMEZ</v>
      </c>
      <c r="Y233" s="19" t="str">
        <f>IFERROR(VLOOKUP(W233,'Personel Bilgi'!A:C,3,0),"---")</f>
        <v>MEHMET ALI SAVAN</v>
      </c>
      <c r="Z233" s="19" t="s">
        <v>95</v>
      </c>
      <c r="AA233" s="22" t="s">
        <v>617</v>
      </c>
      <c r="AB233" s="22" t="s">
        <v>70</v>
      </c>
      <c r="AC233" s="21" t="s">
        <v>97</v>
      </c>
      <c r="AD233" s="21" t="s">
        <v>39</v>
      </c>
    </row>
    <row r="234" spans="1:30" x14ac:dyDescent="0.25">
      <c r="A234" s="19" t="s">
        <v>11</v>
      </c>
      <c r="B234" s="20" t="s">
        <v>973</v>
      </c>
      <c r="C234" s="28">
        <v>5447850810</v>
      </c>
      <c r="D234" s="22" t="s">
        <v>14</v>
      </c>
      <c r="E234" s="22" t="str">
        <f>IFERROR(VLOOKUP(D234,Tanımlar!C:D,2,0),"- - -")</f>
        <v>DAĞITIM</v>
      </c>
      <c r="F234" s="28">
        <v>500063</v>
      </c>
      <c r="G234" s="22" t="str">
        <f>IFERROR(VLOOKUP(F234,'Personel Bilgi'!A:B,2,0),"- - - ")</f>
        <v>YUSUF ISLAM BOZKURT</v>
      </c>
      <c r="H234" s="22" t="str">
        <f>IFERROR(VLOOKUP(F234,'Personel Bilgi'!A:D,3,0),"- - -")</f>
        <v>ERDOGAN DURUK</v>
      </c>
      <c r="I234" s="22" t="str">
        <f>IFERROR(VLOOKUP(F234,'Personel Bilgi'!A:D,4,0),"- - -")</f>
        <v>ERZURUM</v>
      </c>
      <c r="J234" s="22" t="str">
        <f>IFERROR(VLOOKUP(F234,'Personel Bilgi'!A:E,5,0),"- - -")</f>
        <v>MÜŞTERİ TEMSİLCİSİ</v>
      </c>
      <c r="K234" s="22" t="s">
        <v>70</v>
      </c>
      <c r="L234" s="21" t="s">
        <v>96</v>
      </c>
      <c r="M234" s="21" t="s">
        <v>39</v>
      </c>
      <c r="N234" s="36">
        <v>46008</v>
      </c>
      <c r="O234" s="36">
        <v>46009</v>
      </c>
      <c r="P234" s="21" t="s">
        <v>1145</v>
      </c>
      <c r="Q234" s="37" t="s">
        <v>735</v>
      </c>
      <c r="R234" s="19" t="s">
        <v>86</v>
      </c>
      <c r="S234" s="21" t="s">
        <v>92</v>
      </c>
      <c r="T234" s="21" t="s">
        <v>95</v>
      </c>
      <c r="U234" s="21">
        <v>55</v>
      </c>
      <c r="V234" s="21" t="s">
        <v>736</v>
      </c>
      <c r="W234" s="28">
        <v>500176</v>
      </c>
      <c r="X234" s="19" t="str">
        <f>IFERROR(VLOOKUP(W234,'Personel Bilgi'!A:B,2,0),"---")</f>
        <v>GAMZE DONMEZ</v>
      </c>
      <c r="Y234" s="19" t="str">
        <f>IFERROR(VLOOKUP(W234,'Personel Bilgi'!A:C,3,0),"---")</f>
        <v>MEHMET ALI SAVAN</v>
      </c>
      <c r="Z234" s="19" t="s">
        <v>95</v>
      </c>
      <c r="AA234" s="22" t="s">
        <v>617</v>
      </c>
      <c r="AB234" s="22" t="s">
        <v>70</v>
      </c>
      <c r="AC234" s="21" t="s">
        <v>97</v>
      </c>
      <c r="AD234" s="21" t="s">
        <v>39</v>
      </c>
    </row>
    <row r="235" spans="1:30" x14ac:dyDescent="0.25">
      <c r="A235" s="19" t="s">
        <v>11</v>
      </c>
      <c r="B235" s="20" t="s">
        <v>973</v>
      </c>
      <c r="C235" s="28">
        <v>5447850810</v>
      </c>
      <c r="D235" s="22" t="s">
        <v>14</v>
      </c>
      <c r="E235" s="22" t="str">
        <f>IFERROR(VLOOKUP(D235,Tanımlar!C:D,2,0),"- - -")</f>
        <v>DAĞITIM</v>
      </c>
      <c r="F235" s="28">
        <v>110975</v>
      </c>
      <c r="G235" s="22" t="str">
        <f>IFERROR(VLOOKUP(F235,'Personel Bilgi'!A:B,2,0),"- - - ")</f>
        <v>GOZDE KAYA</v>
      </c>
      <c r="H235" s="22" t="str">
        <f>IFERROR(VLOOKUP(F235,'Personel Bilgi'!A:D,3,0),"- - -")</f>
        <v>MUHAMMET AKSU</v>
      </c>
      <c r="I235" s="22" t="str">
        <f>IFERROR(VLOOKUP(F235,'Personel Bilgi'!A:D,4,0),"- - -")</f>
        <v>KARS</v>
      </c>
      <c r="J235" s="22" t="str">
        <f>IFERROR(VLOOKUP(F235,'Personel Bilgi'!A:E,5,0),"- - -")</f>
        <v>MÜŞTERİ TEMSİLCİSİ</v>
      </c>
      <c r="K235" s="22" t="s">
        <v>70</v>
      </c>
      <c r="L235" s="21" t="s">
        <v>96</v>
      </c>
      <c r="M235" s="21" t="s">
        <v>39</v>
      </c>
      <c r="N235" s="36">
        <v>46008</v>
      </c>
      <c r="O235" s="36">
        <v>46009</v>
      </c>
      <c r="P235" s="21" t="s">
        <v>81</v>
      </c>
      <c r="Q235" s="37" t="s">
        <v>735</v>
      </c>
      <c r="R235" s="19" t="s">
        <v>86</v>
      </c>
      <c r="S235" s="21" t="s">
        <v>92</v>
      </c>
      <c r="T235" s="21" t="s">
        <v>95</v>
      </c>
      <c r="U235" s="21">
        <v>70</v>
      </c>
      <c r="V235" s="21" t="s">
        <v>736</v>
      </c>
      <c r="W235" s="28">
        <v>500176</v>
      </c>
      <c r="X235" s="19" t="str">
        <f>IFERROR(VLOOKUP(W235,'Personel Bilgi'!A:B,2,0),"---")</f>
        <v>GAMZE DONMEZ</v>
      </c>
      <c r="Y235" s="19" t="str">
        <f>IFERROR(VLOOKUP(W235,'Personel Bilgi'!A:C,3,0),"---")</f>
        <v>MEHMET ALI SAVAN</v>
      </c>
      <c r="Z235" s="19" t="s">
        <v>95</v>
      </c>
      <c r="AA235" s="22" t="s">
        <v>617</v>
      </c>
      <c r="AB235" s="22" t="s">
        <v>70</v>
      </c>
      <c r="AC235" s="21" t="s">
        <v>97</v>
      </c>
      <c r="AD235" s="21" t="s">
        <v>39</v>
      </c>
    </row>
    <row r="236" spans="1:30" x14ac:dyDescent="0.25">
      <c r="A236" s="19" t="s">
        <v>11</v>
      </c>
      <c r="B236" s="20" t="s">
        <v>973</v>
      </c>
      <c r="C236" s="28">
        <v>5447850810</v>
      </c>
      <c r="D236" s="22" t="s">
        <v>14</v>
      </c>
      <c r="E236" s="22" t="str">
        <f>IFERROR(VLOOKUP(D236,Tanımlar!C:D,2,0),"- - -")</f>
        <v>DAĞITIM</v>
      </c>
      <c r="F236" s="28">
        <v>111244</v>
      </c>
      <c r="G236" s="22" t="str">
        <f>IFERROR(VLOOKUP(F236,'Personel Bilgi'!A:B,2,0),"- - - ")</f>
        <v>ABDULLAH UMIT OZTURK</v>
      </c>
      <c r="H236" s="22" t="str">
        <f>IFERROR(VLOOKUP(F236,'Personel Bilgi'!A:D,3,0),"- - -")</f>
        <v>SEVCAN BULUT</v>
      </c>
      <c r="I236" s="22" t="str">
        <f>IFERROR(VLOOKUP(F236,'Personel Bilgi'!A:D,4,0),"- - -")</f>
        <v>KARS</v>
      </c>
      <c r="J236" s="22" t="str">
        <f>IFERROR(VLOOKUP(F236,'Personel Bilgi'!A:E,5,0),"- - -")</f>
        <v>MÜŞTERİ TEMSİLCİSİ</v>
      </c>
      <c r="K236" s="22" t="s">
        <v>70</v>
      </c>
      <c r="L236" s="21" t="s">
        <v>96</v>
      </c>
      <c r="M236" s="21" t="s">
        <v>39</v>
      </c>
      <c r="N236" s="36">
        <v>46008</v>
      </c>
      <c r="O236" s="36">
        <v>46009</v>
      </c>
      <c r="P236" s="21" t="s">
        <v>81</v>
      </c>
      <c r="Q236" s="37" t="s">
        <v>735</v>
      </c>
      <c r="R236" s="19" t="s">
        <v>86</v>
      </c>
      <c r="S236" s="21" t="s">
        <v>92</v>
      </c>
      <c r="T236" s="21" t="s">
        <v>95</v>
      </c>
      <c r="U236" s="21">
        <v>70</v>
      </c>
      <c r="V236" s="21" t="s">
        <v>736</v>
      </c>
      <c r="W236" s="28">
        <v>500176</v>
      </c>
      <c r="X236" s="19" t="str">
        <f>IFERROR(VLOOKUP(W236,'Personel Bilgi'!A:B,2,0),"---")</f>
        <v>GAMZE DONMEZ</v>
      </c>
      <c r="Y236" s="19" t="str">
        <f>IFERROR(VLOOKUP(W236,'Personel Bilgi'!A:C,3,0),"---")</f>
        <v>MEHMET ALI SAVAN</v>
      </c>
      <c r="Z236" s="19" t="s">
        <v>95</v>
      </c>
      <c r="AA236" s="22" t="s">
        <v>617</v>
      </c>
      <c r="AB236" s="22" t="s">
        <v>70</v>
      </c>
      <c r="AC236" s="21" t="s">
        <v>97</v>
      </c>
      <c r="AD236" s="21" t="s">
        <v>39</v>
      </c>
    </row>
    <row r="237" spans="1:30" x14ac:dyDescent="0.25">
      <c r="A237" s="19" t="s">
        <v>11</v>
      </c>
      <c r="B237" s="22" t="s">
        <v>977</v>
      </c>
      <c r="C237" s="28">
        <v>5349745480</v>
      </c>
      <c r="D237" s="22" t="s">
        <v>14</v>
      </c>
      <c r="E237" s="22" t="str">
        <f>IFERROR(VLOOKUP(D237,Tanımlar!C:D,2,0),"- - -")</f>
        <v>DAĞITIM</v>
      </c>
      <c r="F237" s="28">
        <v>500090</v>
      </c>
      <c r="G237" s="22" t="str">
        <f>IFERROR(VLOOKUP(F237,'Personel Bilgi'!A:B,2,0),"- - - ")</f>
        <v>CILEM ADIBELLI</v>
      </c>
      <c r="H237" s="22" t="str">
        <f>IFERROR(VLOOKUP(F237,'Personel Bilgi'!A:D,3,0),"- - -")</f>
        <v>METEHAN EMRE SIRMALI</v>
      </c>
      <c r="I237" s="22" t="str">
        <f>IFERROR(VLOOKUP(F237,'Personel Bilgi'!A:D,4,0),"- - -")</f>
        <v>ERZURUM</v>
      </c>
      <c r="J237" s="22" t="str">
        <f>IFERROR(VLOOKUP(F237,'Personel Bilgi'!A:E,5,0),"- - -")</f>
        <v>MÜŞTERİ TEMSİLCİSİ</v>
      </c>
      <c r="K237" s="22" t="s">
        <v>53</v>
      </c>
      <c r="L237" s="21" t="s">
        <v>97</v>
      </c>
      <c r="M237" s="21" t="s">
        <v>21</v>
      </c>
      <c r="N237" s="36">
        <v>46009</v>
      </c>
      <c r="O237" s="36">
        <v>46009</v>
      </c>
      <c r="P237" s="21" t="s">
        <v>1145</v>
      </c>
      <c r="Q237" s="37" t="s">
        <v>735</v>
      </c>
      <c r="R237" s="19" t="s">
        <v>86</v>
      </c>
      <c r="S237" s="21" t="s">
        <v>92</v>
      </c>
      <c r="T237" s="21" t="s">
        <v>94</v>
      </c>
      <c r="U237" s="21">
        <v>0</v>
      </c>
      <c r="V237" s="21" t="s">
        <v>736</v>
      </c>
      <c r="W237" s="28">
        <v>111231</v>
      </c>
      <c r="X237" s="19" t="str">
        <f>IFERROR(VLOOKUP(W237,'Personel Bilgi'!A:B,2,0),"---")</f>
        <v>ORUC CAN CIFTCI</v>
      </c>
      <c r="Y237" s="19" t="str">
        <f>IFERROR(VLOOKUP(W237,'Personel Bilgi'!A:C,3,0),"---")</f>
        <v>CEYHAN AYRIC</v>
      </c>
      <c r="Z237" s="19" t="s">
        <v>95</v>
      </c>
      <c r="AA237" s="22" t="s">
        <v>617</v>
      </c>
      <c r="AB237" s="22" t="s">
        <v>53</v>
      </c>
      <c r="AC237" s="21" t="s">
        <v>97</v>
      </c>
      <c r="AD237" s="21" t="s">
        <v>21</v>
      </c>
    </row>
    <row r="238" spans="1:30" x14ac:dyDescent="0.25">
      <c r="A238" s="19" t="s">
        <v>11</v>
      </c>
      <c r="B238" s="22" t="s">
        <v>978</v>
      </c>
      <c r="C238" s="28">
        <v>5374225385</v>
      </c>
      <c r="D238" s="22" t="s">
        <v>15</v>
      </c>
      <c r="E238" s="22" t="str">
        <f>IFERROR(VLOOKUP(D238,Tanımlar!C:D,2,0),"- - -")</f>
        <v>PERAKENDE</v>
      </c>
      <c r="F238" s="28">
        <v>600594</v>
      </c>
      <c r="G238" s="22" t="str">
        <f>IFERROR(VLOOKUP(F238,'Personel Bilgi'!A:B,2,0),"- - - ")</f>
        <v>GORKEM KUTLUOGLU</v>
      </c>
      <c r="H238" s="22" t="str">
        <f>IFERROR(VLOOKUP(F238,'Personel Bilgi'!A:D,3,0),"- - -")</f>
        <v>ASYA DAG</v>
      </c>
      <c r="I238" s="22" t="str">
        <f>IFERROR(VLOOKUP(F238,'Personel Bilgi'!A:D,4,0),"- - -")</f>
        <v>ANKARA</v>
      </c>
      <c r="J238" s="22" t="str">
        <f>IFERROR(VLOOKUP(F238,'Personel Bilgi'!A:E,5,0),"- - -")</f>
        <v>MÜŞTERİ TEMSİLCİSİ</v>
      </c>
      <c r="K238" s="22" t="s">
        <v>64</v>
      </c>
      <c r="L238" s="21" t="s">
        <v>41</v>
      </c>
      <c r="M238" s="21" t="s">
        <v>44</v>
      </c>
      <c r="N238" s="36">
        <v>46007</v>
      </c>
      <c r="O238" s="36">
        <v>46009</v>
      </c>
      <c r="P238" s="21" t="s">
        <v>81</v>
      </c>
      <c r="Q238" s="37" t="s">
        <v>735</v>
      </c>
      <c r="R238" s="19" t="s">
        <v>86</v>
      </c>
      <c r="S238" s="21" t="s">
        <v>93</v>
      </c>
      <c r="T238" s="21" t="s">
        <v>95</v>
      </c>
      <c r="U238" s="21" t="s">
        <v>735</v>
      </c>
      <c r="V238" s="21" t="s">
        <v>736</v>
      </c>
      <c r="W238" s="28">
        <v>500134</v>
      </c>
      <c r="X238" s="19" t="str">
        <f>IFERROR(VLOOKUP(W238,'Personel Bilgi'!A:B,2,0),"---")</f>
        <v>SEYDANUR CAKALOGLU</v>
      </c>
      <c r="Y238" s="19" t="str">
        <f>IFERROR(VLOOKUP(W238,'Personel Bilgi'!A:C,3,0),"---")</f>
        <v>TURGUT AKDAG</v>
      </c>
      <c r="Z238" s="19" t="s">
        <v>95</v>
      </c>
      <c r="AA238" s="22" t="s">
        <v>617</v>
      </c>
      <c r="AB238" s="21" t="s">
        <v>64</v>
      </c>
      <c r="AC238" s="21" t="s">
        <v>41</v>
      </c>
      <c r="AD238" s="21" t="s">
        <v>44</v>
      </c>
    </row>
    <row r="239" spans="1:30" x14ac:dyDescent="0.25">
      <c r="A239" s="19" t="s">
        <v>11</v>
      </c>
      <c r="B239" s="22" t="s">
        <v>979</v>
      </c>
      <c r="C239" s="28">
        <v>5314800563</v>
      </c>
      <c r="D239" s="22" t="s">
        <v>15</v>
      </c>
      <c r="E239" s="22" t="str">
        <f>IFERROR(VLOOKUP(D239,Tanımlar!C:D,2,0),"- - -")</f>
        <v>PERAKENDE</v>
      </c>
      <c r="F239" s="28">
        <v>600755</v>
      </c>
      <c r="G239" s="22" t="str">
        <f>IFERROR(VLOOKUP(F239,'Personel Bilgi'!A:B,2,0),"- - - ")</f>
        <v>CANAN OZDEN</v>
      </c>
      <c r="H239" s="22" t="str">
        <f>IFERROR(VLOOKUP(F239,'Personel Bilgi'!A:D,3,0),"- - -")</f>
        <v>AHMET RIDVAN ERDOGMUS</v>
      </c>
      <c r="I239" s="22" t="str">
        <f>IFERROR(VLOOKUP(F239,'Personel Bilgi'!A:D,4,0),"- - -")</f>
        <v>ANKARA</v>
      </c>
      <c r="J239" s="22" t="str">
        <f>IFERROR(VLOOKUP(F239,'Personel Bilgi'!A:E,5,0),"- - -")</f>
        <v>MÜŞTERİ TEMSİLCİSİ</v>
      </c>
      <c r="K239" s="22" t="s">
        <v>73</v>
      </c>
      <c r="L239" s="21" t="s">
        <v>41</v>
      </c>
      <c r="M239" s="21" t="s">
        <v>42</v>
      </c>
      <c r="N239" s="36">
        <v>46007</v>
      </c>
      <c r="O239" s="36">
        <v>46009</v>
      </c>
      <c r="P239" s="21" t="s">
        <v>81</v>
      </c>
      <c r="Q239" s="37" t="s">
        <v>735</v>
      </c>
      <c r="R239" s="19" t="s">
        <v>86</v>
      </c>
      <c r="S239" s="21" t="s">
        <v>93</v>
      </c>
      <c r="T239" s="21" t="s">
        <v>95</v>
      </c>
      <c r="U239" s="21" t="s">
        <v>735</v>
      </c>
      <c r="V239" s="21" t="s">
        <v>736</v>
      </c>
      <c r="W239" s="28">
        <v>600730</v>
      </c>
      <c r="X239" s="19" t="str">
        <f>IFERROR(VLOOKUP(W239,'Personel Bilgi'!A:B,2,0),"---")</f>
        <v>SEVVAL EROLFANOGLU</v>
      </c>
      <c r="Y239" s="19" t="str">
        <f>IFERROR(VLOOKUP(W239,'Personel Bilgi'!A:C,3,0),"---")</f>
        <v xml:space="preserve">İNAN UMUT ÖRNEK </v>
      </c>
      <c r="Z239" s="22" t="s">
        <v>94</v>
      </c>
      <c r="AA239" s="22" t="s">
        <v>616</v>
      </c>
      <c r="AB239" s="21" t="s">
        <v>73</v>
      </c>
      <c r="AC239" s="21" t="s">
        <v>41</v>
      </c>
      <c r="AD239" s="21" t="s">
        <v>42</v>
      </c>
    </row>
    <row r="240" spans="1:30" x14ac:dyDescent="0.25">
      <c r="A240" s="19" t="s">
        <v>11</v>
      </c>
      <c r="B240" s="22" t="s">
        <v>980</v>
      </c>
      <c r="C240" s="28">
        <v>5523587829</v>
      </c>
      <c r="D240" s="22" t="s">
        <v>15</v>
      </c>
      <c r="E240" s="22" t="str">
        <f>IFERROR(VLOOKUP(D240,Tanımlar!C:D,2,0),"- - -")</f>
        <v>PERAKENDE</v>
      </c>
      <c r="F240" s="28">
        <v>110547</v>
      </c>
      <c r="G240" s="22" t="str">
        <f>IFERROR(VLOOKUP(F240,'Personel Bilgi'!A:B,2,0),"- - - ")</f>
        <v>EMRE CAN SUMER</v>
      </c>
      <c r="H240" s="22" t="str">
        <f>IFERROR(VLOOKUP(F240,'Personel Bilgi'!A:D,3,0),"- - -")</f>
        <v>CEYHAN AYRIC</v>
      </c>
      <c r="I240" s="22" t="str">
        <f>IFERROR(VLOOKUP(F240,'Personel Bilgi'!A:D,4,0),"- - -")</f>
        <v>KARS</v>
      </c>
      <c r="J240" s="22" t="str">
        <f>IFERROR(VLOOKUP(F240,'Personel Bilgi'!A:E,5,0),"- - -")</f>
        <v>MÜŞTERİ TEMSİLCİSİ</v>
      </c>
      <c r="K240" s="22" t="s">
        <v>66</v>
      </c>
      <c r="L240" s="21" t="s">
        <v>41</v>
      </c>
      <c r="M240" s="21" t="s">
        <v>42</v>
      </c>
      <c r="N240" s="36">
        <v>46008</v>
      </c>
      <c r="O240" s="36">
        <v>46009</v>
      </c>
      <c r="P240" s="19" t="s">
        <v>79</v>
      </c>
      <c r="Q240" s="37" t="s">
        <v>735</v>
      </c>
      <c r="R240" s="19" t="s">
        <v>86</v>
      </c>
      <c r="S240" s="21" t="s">
        <v>92</v>
      </c>
      <c r="T240" s="21" t="s">
        <v>94</v>
      </c>
      <c r="U240" s="21">
        <v>0</v>
      </c>
      <c r="V240" s="21" t="s">
        <v>736</v>
      </c>
      <c r="W240" s="28">
        <v>111098</v>
      </c>
      <c r="X240" s="19" t="str">
        <f>IFERROR(VLOOKUP(W240,'Personel Bilgi'!A:B,2,0),"---")</f>
        <v>YETER DEMIRCI</v>
      </c>
      <c r="Y240" s="19" t="str">
        <f>IFERROR(VLOOKUP(W240,'Personel Bilgi'!A:C,3,0),"---")</f>
        <v>CEYHAN AYRIC</v>
      </c>
      <c r="Z240" s="19" t="s">
        <v>95</v>
      </c>
      <c r="AA240" s="22" t="s">
        <v>617</v>
      </c>
      <c r="AB240" s="22" t="s">
        <v>66</v>
      </c>
      <c r="AC240" s="21" t="s">
        <v>97</v>
      </c>
      <c r="AD240" s="21" t="s">
        <v>734</v>
      </c>
    </row>
    <row r="241" spans="1:31" ht="15" x14ac:dyDescent="0.25">
      <c r="A241" s="19" t="s">
        <v>11</v>
      </c>
      <c r="B241" s="22" t="s">
        <v>981</v>
      </c>
      <c r="C241" s="28">
        <v>5372958990</v>
      </c>
      <c r="D241" s="22" t="s">
        <v>15</v>
      </c>
      <c r="E241" s="22" t="str">
        <f>IFERROR(VLOOKUP(D241,Tanımlar!C:D,2,0),"- - -")</f>
        <v>PERAKENDE</v>
      </c>
      <c r="F241" s="28">
        <v>210420</v>
      </c>
      <c r="G241" s="22" t="str">
        <f>IFERROR(VLOOKUP(F241,'Personel Bilgi'!A:B,2,0),"- - - ")</f>
        <v>ROJIN ORAL</v>
      </c>
      <c r="H241" s="22" t="str">
        <f>IFERROR(VLOOKUP(F241,'Personel Bilgi'!A:D,3,0),"- - -")</f>
        <v>MUHAMMET AKSU</v>
      </c>
      <c r="I241" s="22" t="str">
        <f>IFERROR(VLOOKUP(F241,'Personel Bilgi'!A:D,4,0),"- - -")</f>
        <v>KARS</v>
      </c>
      <c r="J241" s="22" t="str">
        <f>IFERROR(VLOOKUP(F241,'Personel Bilgi'!A:E,5,0),"- - -")</f>
        <v>MÜŞTERİ TEMSİLCİSİ</v>
      </c>
      <c r="K241" s="22" t="s">
        <v>65</v>
      </c>
      <c r="L241" s="21" t="s">
        <v>96</v>
      </c>
      <c r="M241" s="21" t="s">
        <v>29</v>
      </c>
      <c r="N241" s="36">
        <v>45996</v>
      </c>
      <c r="O241" s="36">
        <v>46009</v>
      </c>
      <c r="P241" s="21" t="s">
        <v>81</v>
      </c>
      <c r="Q241" s="37" t="s">
        <v>735</v>
      </c>
      <c r="R241" s="21" t="s">
        <v>790</v>
      </c>
      <c r="S241" s="21" t="s">
        <v>92</v>
      </c>
      <c r="T241" s="21" t="s">
        <v>95</v>
      </c>
      <c r="U241" s="21">
        <v>100</v>
      </c>
      <c r="V241" s="21" t="s">
        <v>736</v>
      </c>
      <c r="W241" s="28">
        <v>111020</v>
      </c>
      <c r="X241" s="19" t="str">
        <f>IFERROR(VLOOKUP(W241,'Personel Bilgi'!A:B,2,0),"---")</f>
        <v>BAHAR BARIS</v>
      </c>
      <c r="Y241" s="19" t="str">
        <f>IFERROR(VLOOKUP(W241,'Personel Bilgi'!A:C,3,0),"---")</f>
        <v>DILAN ORNEK</v>
      </c>
      <c r="Z241" s="19" t="s">
        <v>95</v>
      </c>
      <c r="AA241" s="22" t="s">
        <v>617</v>
      </c>
      <c r="AB241" s="22" t="s">
        <v>65</v>
      </c>
      <c r="AC241" s="21" t="s">
        <v>96</v>
      </c>
      <c r="AD241" s="21" t="s">
        <v>29</v>
      </c>
      <c r="AE241" s="48"/>
    </row>
    <row r="242" spans="1:31" x14ac:dyDescent="0.25">
      <c r="A242" s="19" t="s">
        <v>11</v>
      </c>
      <c r="B242" s="22" t="s">
        <v>982</v>
      </c>
      <c r="C242" s="28">
        <v>5544123712</v>
      </c>
      <c r="D242" s="22" t="s">
        <v>15</v>
      </c>
      <c r="E242" s="22" t="str">
        <f>IFERROR(VLOOKUP(D242,Tanımlar!C:D,2,0),"- - -")</f>
        <v>PERAKENDE</v>
      </c>
      <c r="F242" s="28">
        <v>111204</v>
      </c>
      <c r="G242" s="22" t="str">
        <f>IFERROR(VLOOKUP(F242,'Personel Bilgi'!A:B,2,0),"- - - ")</f>
        <v>FEVZI KOCU</v>
      </c>
      <c r="H242" s="22" t="str">
        <f>IFERROR(VLOOKUP(F242,'Personel Bilgi'!A:D,3,0),"- - -")</f>
        <v>SEVCAN BULUT</v>
      </c>
      <c r="I242" s="22" t="str">
        <f>IFERROR(VLOOKUP(F242,'Personel Bilgi'!A:D,4,0),"- - -")</f>
        <v>KARS</v>
      </c>
      <c r="J242" s="22" t="str">
        <f>IFERROR(VLOOKUP(F242,'Personel Bilgi'!A:E,5,0),"- - -")</f>
        <v>MÜŞTERİ TEMSİLCİSİ</v>
      </c>
      <c r="K242" s="22" t="s">
        <v>64</v>
      </c>
      <c r="L242" s="21" t="s">
        <v>41</v>
      </c>
      <c r="M242" s="21" t="s">
        <v>44</v>
      </c>
      <c r="N242" s="36">
        <v>46008</v>
      </c>
      <c r="O242" s="36">
        <v>46009</v>
      </c>
      <c r="P242" s="19" t="s">
        <v>79</v>
      </c>
      <c r="Q242" s="37" t="s">
        <v>735</v>
      </c>
      <c r="R242" s="21" t="s">
        <v>790</v>
      </c>
      <c r="S242" s="21" t="s">
        <v>92</v>
      </c>
      <c r="T242" s="21" t="s">
        <v>94</v>
      </c>
      <c r="U242" s="21">
        <v>0</v>
      </c>
      <c r="V242" s="21" t="s">
        <v>736</v>
      </c>
      <c r="W242" s="28">
        <v>600725</v>
      </c>
      <c r="X242" s="19" t="str">
        <f>IFERROR(VLOOKUP(W242,'Personel Bilgi'!A:B,2,0),"---")</f>
        <v>KEZBAN TILER</v>
      </c>
      <c r="Y242" s="19" t="str">
        <f>IFERROR(VLOOKUP(W242,'Personel Bilgi'!A:C,3,0),"---")</f>
        <v>BUSRA OLCULMUS</v>
      </c>
      <c r="Z242" s="19" t="s">
        <v>95</v>
      </c>
      <c r="AA242" s="22" t="s">
        <v>617</v>
      </c>
      <c r="AB242" s="22" t="s">
        <v>64</v>
      </c>
      <c r="AC242" s="21" t="s">
        <v>41</v>
      </c>
      <c r="AD242" s="21" t="s">
        <v>44</v>
      </c>
    </row>
    <row r="243" spans="1:31" x14ac:dyDescent="0.25">
      <c r="A243" s="19" t="s">
        <v>11</v>
      </c>
      <c r="B243" s="22" t="s">
        <v>983</v>
      </c>
      <c r="C243" s="28">
        <v>5331504261</v>
      </c>
      <c r="D243" s="22" t="s">
        <v>14</v>
      </c>
      <c r="E243" s="22" t="str">
        <f>IFERROR(VLOOKUP(D243,Tanımlar!C:D,2,0),"- - -")</f>
        <v>DAĞITIM</v>
      </c>
      <c r="F243" s="28">
        <v>500196</v>
      </c>
      <c r="G243" s="22" t="str">
        <f>IFERROR(VLOOKUP(F243,'Personel Bilgi'!A:B,2,0),"- - - ")</f>
        <v>MUHAMMED IKBAL KARABACAK</v>
      </c>
      <c r="H243" s="22" t="str">
        <f>IFERROR(VLOOKUP(F243,'Personel Bilgi'!A:D,3,0),"- - -")</f>
        <v>TURGUT AKDAG</v>
      </c>
      <c r="I243" s="22" t="str">
        <f>IFERROR(VLOOKUP(F243,'Personel Bilgi'!A:D,4,0),"- - -")</f>
        <v>ERZURUM</v>
      </c>
      <c r="J243" s="22" t="str">
        <f>IFERROR(VLOOKUP(F243,'Personel Bilgi'!A:E,5,0),"- - -")</f>
        <v>MÜŞTERİ TEMSİLCİSİ</v>
      </c>
      <c r="K243" s="22" t="s">
        <v>49</v>
      </c>
      <c r="L243" s="21" t="s">
        <v>41</v>
      </c>
      <c r="M243" s="21" t="s">
        <v>44</v>
      </c>
      <c r="N243" s="36">
        <v>46010</v>
      </c>
      <c r="O243" s="36">
        <v>46010</v>
      </c>
      <c r="P243" s="19" t="s">
        <v>79</v>
      </c>
      <c r="Q243" s="37" t="s">
        <v>735</v>
      </c>
      <c r="R243" s="19" t="s">
        <v>86</v>
      </c>
      <c r="S243" s="21" t="s">
        <v>92</v>
      </c>
      <c r="T243" s="21" t="s">
        <v>94</v>
      </c>
      <c r="U243" s="21">
        <v>0</v>
      </c>
      <c r="V243" s="21" t="s">
        <v>736</v>
      </c>
      <c r="W243" s="28">
        <v>500031</v>
      </c>
      <c r="X243" s="19" t="str">
        <f>IFERROR(VLOOKUP(W243,'Personel Bilgi'!A:B,2,0),"---")</f>
        <v>OZGEN ERTEK</v>
      </c>
      <c r="Y243" s="19" t="str">
        <f>IFERROR(VLOOKUP(W243,'Personel Bilgi'!A:C,3,0),"---")</f>
        <v>ERDOGAN DURUK</v>
      </c>
      <c r="Z243" s="19" t="s">
        <v>95</v>
      </c>
      <c r="AA243" s="22" t="s">
        <v>617</v>
      </c>
      <c r="AB243" s="22" t="s">
        <v>49</v>
      </c>
      <c r="AC243" s="21" t="s">
        <v>41</v>
      </c>
      <c r="AD243" s="21" t="s">
        <v>44</v>
      </c>
    </row>
    <row r="244" spans="1:31" x14ac:dyDescent="0.25">
      <c r="A244" s="19" t="s">
        <v>11</v>
      </c>
      <c r="B244" s="22" t="s">
        <v>984</v>
      </c>
      <c r="C244" s="28">
        <v>5545209938</v>
      </c>
      <c r="D244" s="22" t="s">
        <v>14</v>
      </c>
      <c r="E244" s="22" t="str">
        <f>IFERROR(VLOOKUP(D244,Tanımlar!C:D,2,0),"- - -")</f>
        <v>DAĞITIM</v>
      </c>
      <c r="F244" s="28">
        <v>600736</v>
      </c>
      <c r="G244" s="22" t="str">
        <f>IFERROR(VLOOKUP(F244,'Personel Bilgi'!A:B,2,0),"- - - ")</f>
        <v>BENSU AZRA ASMA</v>
      </c>
      <c r="H244" s="22" t="str">
        <f>IFERROR(VLOOKUP(F244,'Personel Bilgi'!A:D,3,0),"- - -")</f>
        <v xml:space="preserve">İNAN UMUT ÖRNEK </v>
      </c>
      <c r="I244" s="22" t="str">
        <f>IFERROR(VLOOKUP(F244,'Personel Bilgi'!A:D,4,0),"- - -")</f>
        <v>ANKARA</v>
      </c>
      <c r="J244" s="22" t="str">
        <f>IFERROR(VLOOKUP(F244,'Personel Bilgi'!A:E,5,0),"- - -")</f>
        <v>MÜŞTERİ TEMSİLCİSİ</v>
      </c>
      <c r="K244" s="22" t="s">
        <v>49</v>
      </c>
      <c r="L244" s="21" t="s">
        <v>41</v>
      </c>
      <c r="M244" s="21" t="s">
        <v>44</v>
      </c>
      <c r="N244" s="36">
        <v>46010</v>
      </c>
      <c r="O244" s="36">
        <v>46010</v>
      </c>
      <c r="P244" s="21" t="s">
        <v>81</v>
      </c>
      <c r="Q244" s="37" t="s">
        <v>735</v>
      </c>
      <c r="R244" s="19" t="s">
        <v>86</v>
      </c>
      <c r="S244" s="21" t="s">
        <v>92</v>
      </c>
      <c r="T244" s="21" t="s">
        <v>94</v>
      </c>
      <c r="U244" s="21">
        <v>0</v>
      </c>
      <c r="V244" s="21" t="s">
        <v>736</v>
      </c>
      <c r="W244" s="28">
        <v>600553</v>
      </c>
      <c r="X244" s="19" t="str">
        <f>IFERROR(VLOOKUP(W244,'Personel Bilgi'!A:B,2,0),"---")</f>
        <v>ILKNUR BEKTAS</v>
      </c>
      <c r="Y244" s="19" t="str">
        <f>IFERROR(VLOOKUP(W244,'Personel Bilgi'!A:C,3,0),"---")</f>
        <v>FERHAT DEMIR</v>
      </c>
      <c r="Z244" s="19" t="s">
        <v>95</v>
      </c>
      <c r="AA244" s="22" t="s">
        <v>617</v>
      </c>
      <c r="AB244" s="22" t="s">
        <v>49</v>
      </c>
      <c r="AC244" s="21" t="s">
        <v>41</v>
      </c>
      <c r="AD244" s="21" t="s">
        <v>44</v>
      </c>
    </row>
    <row r="245" spans="1:31" x14ac:dyDescent="0.25">
      <c r="A245" s="19" t="s">
        <v>11</v>
      </c>
      <c r="B245" s="20" t="s">
        <v>985</v>
      </c>
      <c r="C245" s="28">
        <v>5365687953</v>
      </c>
      <c r="D245" s="22" t="s">
        <v>14</v>
      </c>
      <c r="E245" s="22" t="str">
        <f>IFERROR(VLOOKUP(D245,Tanımlar!C:D,2,0),"- - -")</f>
        <v>DAĞITIM</v>
      </c>
      <c r="F245" s="28">
        <v>110732</v>
      </c>
      <c r="G245" s="22" t="str">
        <f>IFERROR(VLOOKUP(F245,'Personel Bilgi'!A:B,2,0),"- - - ")</f>
        <v>CEREN SIMSEK</v>
      </c>
      <c r="H245" s="22" t="str">
        <f>IFERROR(VLOOKUP(F245,'Personel Bilgi'!A:D,3,0),"- - -")</f>
        <v>MUSTAFA OZAYAG</v>
      </c>
      <c r="I245" s="22" t="str">
        <f>IFERROR(VLOOKUP(F245,'Personel Bilgi'!A:D,4,0),"- - -")</f>
        <v>KARS</v>
      </c>
      <c r="J245" s="22" t="str">
        <f>IFERROR(VLOOKUP(F245,'Personel Bilgi'!A:E,5,0),"- - -")</f>
        <v>MÜŞTERİ TEMSİLCİSİ</v>
      </c>
      <c r="K245" s="22" t="s">
        <v>50</v>
      </c>
      <c r="L245" s="21" t="s">
        <v>47</v>
      </c>
      <c r="M245" s="21" t="s">
        <v>603</v>
      </c>
      <c r="N245" s="36">
        <v>46010</v>
      </c>
      <c r="O245" s="36">
        <v>46010</v>
      </c>
      <c r="P245" s="21" t="s">
        <v>80</v>
      </c>
      <c r="Q245" s="37" t="s">
        <v>735</v>
      </c>
      <c r="R245" s="19" t="s">
        <v>86</v>
      </c>
      <c r="S245" s="21" t="s">
        <v>92</v>
      </c>
      <c r="T245" s="21" t="s">
        <v>95</v>
      </c>
      <c r="U245" s="21">
        <v>100</v>
      </c>
      <c r="V245" s="21" t="s">
        <v>736</v>
      </c>
      <c r="W245" s="19">
        <v>110732</v>
      </c>
      <c r="X245" s="19" t="str">
        <f>IFERROR(VLOOKUP(W245,'Personel Bilgi'!A:B,2,0),"---")</f>
        <v>CEREN SIMSEK</v>
      </c>
      <c r="Y245" s="19" t="str">
        <f>IFERROR(VLOOKUP(W245,'Personel Bilgi'!A:C,3,0),"---")</f>
        <v>MUSTAFA OZAYAG</v>
      </c>
      <c r="Z245" s="19" t="s">
        <v>95</v>
      </c>
      <c r="AA245" s="22" t="s">
        <v>617</v>
      </c>
      <c r="AB245" s="22" t="s">
        <v>50</v>
      </c>
      <c r="AC245" s="21" t="s">
        <v>47</v>
      </c>
      <c r="AD245" s="21" t="s">
        <v>603</v>
      </c>
    </row>
    <row r="246" spans="1:31" x14ac:dyDescent="0.25">
      <c r="A246" s="19" t="s">
        <v>11</v>
      </c>
      <c r="B246" s="20" t="s">
        <v>985</v>
      </c>
      <c r="C246" s="28">
        <v>5365687953</v>
      </c>
      <c r="D246" s="22" t="s">
        <v>14</v>
      </c>
      <c r="E246" s="22" t="str">
        <f>IFERROR(VLOOKUP(D246,Tanımlar!C:D,2,0),"- - -")</f>
        <v>DAĞITIM</v>
      </c>
      <c r="F246" s="28">
        <v>110830</v>
      </c>
      <c r="G246" s="28" t="str">
        <f>IFERROR(VLOOKUP(F246,'Personel Bilgi'!A:B,2,0),"- - - ")</f>
        <v>ILAYDA ATILLA</v>
      </c>
      <c r="H246" s="28" t="str">
        <f>IFERROR(VLOOKUP(F246,'Personel Bilgi'!A:D,3,0),"- - -")</f>
        <v>ERCUMENT GUNESSU</v>
      </c>
      <c r="I246" s="28" t="str">
        <f>IFERROR(VLOOKUP(F246,'Personel Bilgi'!A:D,4,0),"- - -")</f>
        <v>KARS</v>
      </c>
      <c r="J246" s="28" t="str">
        <f>IFERROR(VLOOKUP(F246,'Personel Bilgi'!A:E,5,0),"- - -")</f>
        <v>MÜŞTERİ TEMSİLCİSİ</v>
      </c>
      <c r="K246" s="22" t="s">
        <v>50</v>
      </c>
      <c r="L246" s="21" t="s">
        <v>47</v>
      </c>
      <c r="M246" s="21" t="s">
        <v>603</v>
      </c>
      <c r="N246" s="36">
        <v>46009</v>
      </c>
      <c r="O246" s="36">
        <v>46010</v>
      </c>
      <c r="P246" s="21" t="s">
        <v>80</v>
      </c>
      <c r="Q246" s="37" t="s">
        <v>735</v>
      </c>
      <c r="R246" s="19" t="s">
        <v>86</v>
      </c>
      <c r="S246" s="21" t="s">
        <v>92</v>
      </c>
      <c r="T246" s="21" t="s">
        <v>95</v>
      </c>
      <c r="U246" s="21">
        <v>90</v>
      </c>
      <c r="V246" s="21" t="s">
        <v>736</v>
      </c>
      <c r="W246" s="19">
        <v>110732</v>
      </c>
      <c r="X246" s="19" t="str">
        <f>IFERROR(VLOOKUP(W246,'Personel Bilgi'!A:B,2,0),"---")</f>
        <v>CEREN SIMSEK</v>
      </c>
      <c r="Y246" s="19" t="str">
        <f>IFERROR(VLOOKUP(W246,'Personel Bilgi'!A:C,3,0),"---")</f>
        <v>MUSTAFA OZAYAG</v>
      </c>
      <c r="Z246" s="19" t="s">
        <v>95</v>
      </c>
      <c r="AA246" s="22" t="s">
        <v>617</v>
      </c>
      <c r="AB246" s="22" t="s">
        <v>50</v>
      </c>
      <c r="AC246" s="21" t="s">
        <v>47</v>
      </c>
      <c r="AD246" s="21" t="s">
        <v>603</v>
      </c>
    </row>
    <row r="247" spans="1:31" x14ac:dyDescent="0.25">
      <c r="A247" s="19" t="s">
        <v>11</v>
      </c>
      <c r="B247" s="22" t="s">
        <v>986</v>
      </c>
      <c r="C247" s="28">
        <v>5462781478</v>
      </c>
      <c r="D247" s="22" t="s">
        <v>13</v>
      </c>
      <c r="E247" s="22" t="str">
        <f>IFERROR(VLOOKUP(D247,Tanımlar!C:D,2,0),"- - -")</f>
        <v>PERAKENDE</v>
      </c>
      <c r="F247" s="28">
        <v>111285</v>
      </c>
      <c r="G247" s="28" t="str">
        <f>IFERROR(VLOOKUP(F247,'Personel Bilgi'!A:B,2,0),"- - - ")</f>
        <v>AYCE IDIL ERKMEN</v>
      </c>
      <c r="H247" s="28" t="str">
        <f>IFERROR(VLOOKUP(F247,'Personel Bilgi'!A:D,3,0),"- - -")</f>
        <v>YAPRAK KARAKOC</v>
      </c>
      <c r="I247" s="28" t="str">
        <f>IFERROR(VLOOKUP(F247,'Personel Bilgi'!A:D,4,0),"- - -")</f>
        <v>KARS</v>
      </c>
      <c r="J247" s="28" t="str">
        <f>IFERROR(VLOOKUP(F247,'Personel Bilgi'!A:E,5,0),"- - -")</f>
        <v>MÜŞTERİ TEMSİLCİSİ</v>
      </c>
      <c r="K247" s="22" t="s">
        <v>64</v>
      </c>
      <c r="L247" s="21" t="s">
        <v>97</v>
      </c>
      <c r="M247" s="21" t="s">
        <v>21</v>
      </c>
      <c r="N247" s="36">
        <v>46000</v>
      </c>
      <c r="O247" s="36">
        <v>46010</v>
      </c>
      <c r="P247" s="21" t="s">
        <v>81</v>
      </c>
      <c r="Q247" s="37" t="s">
        <v>735</v>
      </c>
      <c r="R247" s="19" t="s">
        <v>86</v>
      </c>
      <c r="S247" s="21" t="s">
        <v>92</v>
      </c>
      <c r="T247" s="21" t="s">
        <v>94</v>
      </c>
      <c r="U247" s="21">
        <v>0</v>
      </c>
      <c r="V247" s="21" t="s">
        <v>736</v>
      </c>
      <c r="W247" s="19">
        <v>600626</v>
      </c>
      <c r="X247" s="19" t="str">
        <f>IFERROR(VLOOKUP(W247,'Personel Bilgi'!A:B,2,0),"---")</f>
        <v>AHMET ERDEM</v>
      </c>
      <c r="Y247" s="19" t="str">
        <f>IFERROR(VLOOKUP(W247,'Personel Bilgi'!A:C,3,0),"---")</f>
        <v>FERHAT DEMIR</v>
      </c>
      <c r="Z247" s="19" t="s">
        <v>95</v>
      </c>
      <c r="AA247" s="22" t="s">
        <v>617</v>
      </c>
      <c r="AB247" s="22" t="s">
        <v>64</v>
      </c>
      <c r="AC247" s="21" t="s">
        <v>97</v>
      </c>
      <c r="AD247" s="21" t="s">
        <v>21</v>
      </c>
    </row>
    <row r="248" spans="1:31" x14ac:dyDescent="0.25">
      <c r="A248" s="19" t="s">
        <v>11</v>
      </c>
      <c r="B248" s="22" t="s">
        <v>987</v>
      </c>
      <c r="C248" s="28">
        <v>5315994348</v>
      </c>
      <c r="D248" s="22" t="s">
        <v>15</v>
      </c>
      <c r="E248" s="22" t="str">
        <f>IFERROR(VLOOKUP(D248,Tanımlar!C:D,2,0),"- - -")</f>
        <v>PERAKENDE</v>
      </c>
      <c r="F248" s="28"/>
      <c r="G248" s="28" t="str">
        <f>IFERROR(VLOOKUP(F248,'Personel Bilgi'!A:B,2,0),"- - - ")</f>
        <v xml:space="preserve">- - - </v>
      </c>
      <c r="H248" s="28" t="str">
        <f>IFERROR(VLOOKUP(F248,'Personel Bilgi'!A:D,3,0),"- - -")</f>
        <v>- - -</v>
      </c>
      <c r="I248" s="28" t="str">
        <f>IFERROR(VLOOKUP(F248,'Personel Bilgi'!A:D,4,0),"- - -")</f>
        <v>- - -</v>
      </c>
      <c r="J248" s="28" t="str">
        <f>IFERROR(VLOOKUP(F248,'Personel Bilgi'!A:E,5,0),"- - -")</f>
        <v>- - -</v>
      </c>
      <c r="K248" s="46"/>
      <c r="L248" s="19"/>
      <c r="M248" s="21" t="s">
        <v>864</v>
      </c>
      <c r="N248" s="36">
        <v>46010</v>
      </c>
      <c r="O248" s="36">
        <v>46010</v>
      </c>
      <c r="P248" s="21" t="s">
        <v>81</v>
      </c>
      <c r="Q248" s="37" t="s">
        <v>735</v>
      </c>
      <c r="R248" s="19" t="s">
        <v>86</v>
      </c>
      <c r="S248" s="21" t="s">
        <v>93</v>
      </c>
      <c r="T248" s="21" t="s">
        <v>95</v>
      </c>
      <c r="U248" s="21" t="s">
        <v>735</v>
      </c>
      <c r="V248" s="21" t="s">
        <v>736</v>
      </c>
      <c r="W248" s="19">
        <v>110742</v>
      </c>
      <c r="X248" s="19" t="str">
        <f>IFERROR(VLOOKUP(W248,'Personel Bilgi'!A:B,2,0),"---")</f>
        <v>HANDE KOC</v>
      </c>
      <c r="Y248" s="19" t="str">
        <f>IFERROR(VLOOKUP(W248,'Personel Bilgi'!A:C,3,0),"---")</f>
        <v>YAPRAK KARAKOC</v>
      </c>
      <c r="Z248" s="19" t="s">
        <v>95</v>
      </c>
      <c r="AA248" s="22" t="s">
        <v>617</v>
      </c>
      <c r="AB248" s="22" t="s">
        <v>65</v>
      </c>
      <c r="AC248" s="21" t="s">
        <v>97</v>
      </c>
      <c r="AD248" s="21" t="s">
        <v>734</v>
      </c>
      <c r="AE248" s="29" t="s">
        <v>988</v>
      </c>
    </row>
    <row r="249" spans="1:31" x14ac:dyDescent="0.25">
      <c r="A249" s="19" t="s">
        <v>11</v>
      </c>
      <c r="B249" s="22" t="s">
        <v>989</v>
      </c>
      <c r="C249" s="28">
        <v>5372335754</v>
      </c>
      <c r="D249" s="22" t="s">
        <v>14</v>
      </c>
      <c r="E249" s="22" t="str">
        <f>IFERROR(VLOOKUP(D249,Tanımlar!C:D,2,0),"- - -")</f>
        <v>DAĞITIM</v>
      </c>
      <c r="F249" s="28">
        <v>500025</v>
      </c>
      <c r="G249" s="28" t="str">
        <f>IFERROR(VLOOKUP(F249,'Personel Bilgi'!A:B,2,0),"- - - ")</f>
        <v>METEHAN EMRE SIRMALI</v>
      </c>
      <c r="H249" s="28" t="str">
        <f>IFERROR(VLOOKUP(F249,'Personel Bilgi'!A:D,3,0),"- - -")</f>
        <v>METEHAN EMRE SIRMALI</v>
      </c>
      <c r="I249" s="28" t="str">
        <f>IFERROR(VLOOKUP(F249,'Personel Bilgi'!A:D,4,0),"- - -")</f>
        <v>ERZURUM</v>
      </c>
      <c r="J249" s="28" t="str">
        <f>IFERROR(VLOOKUP(F249,'Personel Bilgi'!A:E,5,0),"- - -")</f>
        <v>TAKIM LIDERI</v>
      </c>
      <c r="K249" s="22" t="s">
        <v>49</v>
      </c>
      <c r="L249" s="21" t="s">
        <v>97</v>
      </c>
      <c r="M249" s="21" t="s">
        <v>734</v>
      </c>
      <c r="N249" s="36">
        <v>46010</v>
      </c>
      <c r="O249" s="36">
        <v>46010</v>
      </c>
      <c r="P249" s="21" t="s">
        <v>81</v>
      </c>
      <c r="Q249" s="37" t="s">
        <v>735</v>
      </c>
      <c r="R249" s="19" t="s">
        <v>86</v>
      </c>
      <c r="S249" s="21" t="s">
        <v>93</v>
      </c>
      <c r="T249" s="21" t="s">
        <v>95</v>
      </c>
      <c r="U249" s="21" t="s">
        <v>735</v>
      </c>
      <c r="V249" s="21" t="s">
        <v>736</v>
      </c>
      <c r="W249" s="19">
        <v>500025</v>
      </c>
      <c r="X249" s="19" t="str">
        <f>IFERROR(VLOOKUP(W249,'Personel Bilgi'!A:B,2,0),"---")</f>
        <v>METEHAN EMRE SIRMALI</v>
      </c>
      <c r="Y249" s="19" t="str">
        <f>IFERROR(VLOOKUP(W249,'Personel Bilgi'!A:C,3,0),"---")</f>
        <v>METEHAN EMRE SIRMALI</v>
      </c>
      <c r="Z249" s="19" t="s">
        <v>95</v>
      </c>
      <c r="AA249" s="22" t="s">
        <v>617</v>
      </c>
      <c r="AB249" s="22" t="s">
        <v>49</v>
      </c>
      <c r="AC249" s="21" t="s">
        <v>97</v>
      </c>
      <c r="AD249" s="21" t="s">
        <v>734</v>
      </c>
    </row>
    <row r="250" spans="1:31" x14ac:dyDescent="0.25">
      <c r="A250" s="19" t="s">
        <v>11</v>
      </c>
      <c r="B250" s="22" t="s">
        <v>990</v>
      </c>
      <c r="C250" s="28">
        <v>5372335754</v>
      </c>
      <c r="D250" s="22" t="s">
        <v>14</v>
      </c>
      <c r="E250" s="22" t="str">
        <f>IFERROR(VLOOKUP(D250,Tanımlar!C:D,2,0),"- - -")</f>
        <v>DAĞITIM</v>
      </c>
      <c r="F250" s="28">
        <v>500073</v>
      </c>
      <c r="G250" s="22" t="s">
        <v>936</v>
      </c>
      <c r="H250" s="28" t="str">
        <f>IFERROR(VLOOKUP(F250,'Personel Bilgi'!A:D,3,0),"- - -")</f>
        <v>MUHAMMED TARIK KUÇUK</v>
      </c>
      <c r="I250" s="28" t="str">
        <f>IFERROR(VLOOKUP(F250,'Personel Bilgi'!A:D,4,0),"- - -")</f>
        <v>ERZURUM</v>
      </c>
      <c r="J250" s="28" t="str">
        <f>IFERROR(VLOOKUP(F250,'Personel Bilgi'!A:E,5,0),"- - -")</f>
        <v>TAKIM LİDERİ</v>
      </c>
      <c r="K250" s="22" t="s">
        <v>49</v>
      </c>
      <c r="L250" s="21" t="s">
        <v>97</v>
      </c>
      <c r="M250" s="21" t="s">
        <v>734</v>
      </c>
      <c r="N250" s="36">
        <v>46010</v>
      </c>
      <c r="O250" s="36">
        <v>46010</v>
      </c>
      <c r="P250" s="21" t="s">
        <v>81</v>
      </c>
      <c r="Q250" s="37" t="s">
        <v>735</v>
      </c>
      <c r="R250" s="19" t="s">
        <v>86</v>
      </c>
      <c r="S250" s="21" t="s">
        <v>93</v>
      </c>
      <c r="T250" s="21" t="s">
        <v>95</v>
      </c>
      <c r="U250" s="21" t="s">
        <v>735</v>
      </c>
      <c r="V250" s="21" t="s">
        <v>736</v>
      </c>
      <c r="W250" s="19">
        <v>500073</v>
      </c>
      <c r="X250" s="19" t="str">
        <f>IFERROR(VLOOKUP(W250,'Personel Bilgi'!A:B,2,0),"---")</f>
        <v>MUHAMMED TARIK KUÇUK</v>
      </c>
      <c r="Y250" s="19" t="str">
        <f>IFERROR(VLOOKUP(W250,'Personel Bilgi'!A:C,3,0),"---")</f>
        <v>MUHAMMED TARIK KUÇUK</v>
      </c>
      <c r="Z250" s="19" t="s">
        <v>95</v>
      </c>
      <c r="AA250" s="22" t="s">
        <v>617</v>
      </c>
      <c r="AB250" s="22" t="s">
        <v>49</v>
      </c>
      <c r="AC250" s="21" t="s">
        <v>97</v>
      </c>
      <c r="AD250" s="21" t="s">
        <v>734</v>
      </c>
    </row>
    <row r="251" spans="1:31" x14ac:dyDescent="0.25">
      <c r="A251" s="19" t="s">
        <v>11</v>
      </c>
      <c r="B251" s="22" t="s">
        <v>991</v>
      </c>
      <c r="C251" s="28">
        <v>5449681915</v>
      </c>
      <c r="D251" s="22" t="s">
        <v>15</v>
      </c>
      <c r="E251" s="22" t="str">
        <f>IFERROR(VLOOKUP(D251,Tanımlar!C:D,2,0),"- - -")</f>
        <v>PERAKENDE</v>
      </c>
      <c r="F251" s="28">
        <v>110532</v>
      </c>
      <c r="G251" s="28" t="str">
        <f>IFERROR(VLOOKUP(F251,'Personel Bilgi'!A:B,2,0),"- - - ")</f>
        <v>OZLEM BIRDAL</v>
      </c>
      <c r="H251" s="28" t="str">
        <f>IFERROR(VLOOKUP(F251,'Personel Bilgi'!A:D,3,0),"- - -")</f>
        <v>ERCUMENT GUNESSU</v>
      </c>
      <c r="I251" s="28" t="str">
        <f>IFERROR(VLOOKUP(F251,'Personel Bilgi'!A:D,4,0),"- - -")</f>
        <v>KARS</v>
      </c>
      <c r="J251" s="28" t="str">
        <f>IFERROR(VLOOKUP(F251,'Personel Bilgi'!A:E,5,0),"- - -")</f>
        <v>TAKIM LİDERİ</v>
      </c>
      <c r="K251" s="22" t="s">
        <v>66</v>
      </c>
      <c r="L251" s="21" t="s">
        <v>41</v>
      </c>
      <c r="M251" s="21" t="s">
        <v>42</v>
      </c>
      <c r="N251" s="36">
        <v>46009</v>
      </c>
      <c r="O251" s="36">
        <v>46010</v>
      </c>
      <c r="P251" s="21" t="s">
        <v>81</v>
      </c>
      <c r="Q251" s="37" t="s">
        <v>735</v>
      </c>
      <c r="R251" s="19" t="s">
        <v>86</v>
      </c>
      <c r="S251" s="21" t="s">
        <v>92</v>
      </c>
      <c r="T251" s="21" t="s">
        <v>95</v>
      </c>
      <c r="U251" s="21">
        <v>68</v>
      </c>
      <c r="V251" s="21" t="s">
        <v>736</v>
      </c>
      <c r="W251" s="19">
        <v>111272</v>
      </c>
      <c r="X251" s="19" t="str">
        <f>IFERROR(VLOOKUP(W251,'Personel Bilgi'!A:B,2,0),"---")</f>
        <v>RIDVAN GUNES</v>
      </c>
      <c r="Y251" s="19" t="str">
        <f>IFERROR(VLOOKUP(W251,'Personel Bilgi'!A:C,3,0),"---")</f>
        <v>YAPRAK KARAKOC</v>
      </c>
      <c r="Z251" s="19" t="s">
        <v>95</v>
      </c>
      <c r="AA251" s="22" t="s">
        <v>617</v>
      </c>
      <c r="AB251" s="22" t="s">
        <v>66</v>
      </c>
      <c r="AC251" s="21" t="s">
        <v>41</v>
      </c>
      <c r="AD251" s="21" t="s">
        <v>42</v>
      </c>
    </row>
    <row r="252" spans="1:31" x14ac:dyDescent="0.25">
      <c r="A252" s="19" t="s">
        <v>11</v>
      </c>
      <c r="B252" s="22" t="s">
        <v>992</v>
      </c>
      <c r="C252" s="28">
        <v>5357905166</v>
      </c>
      <c r="D252" s="22" t="s">
        <v>15</v>
      </c>
      <c r="E252" s="22" t="str">
        <f>IFERROR(VLOOKUP(D252,Tanımlar!C:D,2,0),"- - -")</f>
        <v>PERAKENDE</v>
      </c>
      <c r="F252" s="28">
        <v>111259</v>
      </c>
      <c r="G252" s="28" t="str">
        <f>IFERROR(VLOOKUP(F252,'Personel Bilgi'!A:B,2,0),"- - - ")</f>
        <v>DIYAR SUR</v>
      </c>
      <c r="H252" s="28" t="str">
        <f>IFERROR(VLOOKUP(F252,'Personel Bilgi'!A:D,3,0),"- - -")</f>
        <v>DILAN ORNEK</v>
      </c>
      <c r="I252" s="28" t="str">
        <f>IFERROR(VLOOKUP(F252,'Personel Bilgi'!A:D,4,0),"- - -")</f>
        <v>KARS</v>
      </c>
      <c r="J252" s="28" t="str">
        <f>IFERROR(VLOOKUP(F252,'Personel Bilgi'!A:E,5,0),"- - -")</f>
        <v>MÜŞTERİ TEMSİLCİSİ</v>
      </c>
      <c r="K252" s="22" t="s">
        <v>66</v>
      </c>
      <c r="L252" s="21" t="s">
        <v>41</v>
      </c>
      <c r="M252" s="21" t="s">
        <v>44</v>
      </c>
      <c r="N252" s="36">
        <v>46009</v>
      </c>
      <c r="O252" s="36">
        <v>46010</v>
      </c>
      <c r="P252" s="21" t="s">
        <v>81</v>
      </c>
      <c r="Q252" s="37" t="s">
        <v>735</v>
      </c>
      <c r="R252" s="19" t="s">
        <v>86</v>
      </c>
      <c r="S252" s="21" t="s">
        <v>92</v>
      </c>
      <c r="T252" s="21" t="s">
        <v>94</v>
      </c>
      <c r="U252" s="21">
        <v>0</v>
      </c>
      <c r="V252" s="21" t="s">
        <v>736</v>
      </c>
      <c r="W252" s="19">
        <v>111125</v>
      </c>
      <c r="X252" s="19" t="str">
        <f>IFERROR(VLOOKUP(W252,'Personel Bilgi'!A:B,2,0),"---")</f>
        <v>NURHAK DOGUKAN KARAMAN</v>
      </c>
      <c r="Y252" s="19" t="str">
        <f>IFERROR(VLOOKUP(W252,'Personel Bilgi'!A:C,3,0),"---")</f>
        <v>MUHAMMET AKSU</v>
      </c>
      <c r="Z252" s="19" t="s">
        <v>95</v>
      </c>
      <c r="AA252" s="22" t="s">
        <v>617</v>
      </c>
      <c r="AB252" s="22" t="s">
        <v>66</v>
      </c>
      <c r="AC252" s="21" t="s">
        <v>41</v>
      </c>
      <c r="AD252" s="21" t="s">
        <v>44</v>
      </c>
    </row>
    <row r="253" spans="1:31" x14ac:dyDescent="0.25">
      <c r="A253" s="19" t="s">
        <v>11</v>
      </c>
      <c r="B253" s="22" t="s">
        <v>993</v>
      </c>
      <c r="C253" s="28">
        <v>5383538511</v>
      </c>
      <c r="D253" s="22" t="s">
        <v>15</v>
      </c>
      <c r="E253" s="22" t="str">
        <f>IFERROR(VLOOKUP(D253,Tanımlar!C:D,2,0),"- - -")</f>
        <v>PERAKENDE</v>
      </c>
      <c r="F253" s="28">
        <v>111125</v>
      </c>
      <c r="G253" s="28" t="str">
        <f>IFERROR(VLOOKUP(F253,'Personel Bilgi'!A:B,2,0),"- - - ")</f>
        <v>NURHAK DOGUKAN KARAMAN</v>
      </c>
      <c r="H253" s="28" t="str">
        <f>IFERROR(VLOOKUP(F253,'Personel Bilgi'!A:D,3,0),"- - -")</f>
        <v>MUHAMMET AKSU</v>
      </c>
      <c r="I253" s="28" t="str">
        <f>IFERROR(VLOOKUP(F253,'Personel Bilgi'!A:D,4,0),"- - -")</f>
        <v>KARS</v>
      </c>
      <c r="J253" s="28" t="str">
        <f>IFERROR(VLOOKUP(F253,'Personel Bilgi'!A:E,5,0),"- - -")</f>
        <v>MÜŞTERİ TEMSİLCİSİ</v>
      </c>
      <c r="K253" s="22" t="s">
        <v>65</v>
      </c>
      <c r="L253" s="21" t="s">
        <v>47</v>
      </c>
      <c r="M253" s="21" t="s">
        <v>603</v>
      </c>
      <c r="N253" s="36">
        <v>46009</v>
      </c>
      <c r="O253" s="36">
        <v>46006</v>
      </c>
      <c r="P253" s="21" t="s">
        <v>80</v>
      </c>
      <c r="Q253" s="37" t="s">
        <v>735</v>
      </c>
      <c r="R253" s="19" t="s">
        <v>86</v>
      </c>
      <c r="S253" s="21" t="s">
        <v>92</v>
      </c>
      <c r="T253" s="21" t="s">
        <v>95</v>
      </c>
      <c r="U253" s="21">
        <v>88</v>
      </c>
      <c r="V253" s="21" t="s">
        <v>736</v>
      </c>
      <c r="W253" s="28">
        <v>111125</v>
      </c>
      <c r="X253" s="19" t="str">
        <f>IFERROR(VLOOKUP(W253,'Personel Bilgi'!A:B,2,0),"---")</f>
        <v>NURHAK DOGUKAN KARAMAN</v>
      </c>
      <c r="Y253" s="19" t="str">
        <f>IFERROR(VLOOKUP(W253,'Personel Bilgi'!A:C,3,0),"---")</f>
        <v>MUHAMMET AKSU</v>
      </c>
      <c r="Z253" s="19" t="s">
        <v>95</v>
      </c>
      <c r="AA253" s="22" t="s">
        <v>617</v>
      </c>
      <c r="AB253" s="22" t="s">
        <v>65</v>
      </c>
      <c r="AC253" s="21" t="s">
        <v>47</v>
      </c>
      <c r="AD253" s="21" t="s">
        <v>603</v>
      </c>
    </row>
    <row r="254" spans="1:31" x14ac:dyDescent="0.25">
      <c r="A254" s="19" t="s">
        <v>11</v>
      </c>
      <c r="B254" s="22" t="s">
        <v>994</v>
      </c>
      <c r="C254" s="28">
        <v>5070602530</v>
      </c>
      <c r="D254" s="22" t="s">
        <v>12</v>
      </c>
      <c r="E254" s="22" t="str">
        <f>IFERROR(VLOOKUP(D254,Tanımlar!C:D,2,0),"- - -")</f>
        <v>DAĞITIM</v>
      </c>
      <c r="F254" s="28">
        <v>111234</v>
      </c>
      <c r="G254" s="28" t="str">
        <f>IFERROR(VLOOKUP(F254,'Personel Bilgi'!A:B,2,0),"- - - ")</f>
        <v>MIHRIBAN BOGERLER</v>
      </c>
      <c r="H254" s="28" t="str">
        <f>IFERROR(VLOOKUP(F254,'Personel Bilgi'!A:D,3,0),"- - -")</f>
        <v>ERCUMENT GUNESSU</v>
      </c>
      <c r="I254" s="28" t="str">
        <f>IFERROR(VLOOKUP(F254,'Personel Bilgi'!A:D,4,0),"- - -")</f>
        <v>KARS</v>
      </c>
      <c r="J254" s="28" t="str">
        <f>IFERROR(VLOOKUP(F254,'Personel Bilgi'!A:E,5,0),"- - -")</f>
        <v>MÜŞTERİ TEMSİLCİSİ</v>
      </c>
      <c r="K254" s="22" t="s">
        <v>61</v>
      </c>
      <c r="L254" s="21" t="s">
        <v>41</v>
      </c>
      <c r="M254" s="21" t="s">
        <v>42</v>
      </c>
      <c r="N254" s="36">
        <v>46009</v>
      </c>
      <c r="O254" s="36">
        <v>46010</v>
      </c>
      <c r="P254" s="19" t="s">
        <v>79</v>
      </c>
      <c r="Q254" s="37" t="s">
        <v>735</v>
      </c>
      <c r="R254" s="21" t="s">
        <v>790</v>
      </c>
      <c r="S254" s="21" t="s">
        <v>92</v>
      </c>
      <c r="T254" s="21" t="s">
        <v>94</v>
      </c>
      <c r="U254" s="21">
        <v>0</v>
      </c>
      <c r="V254" s="21" t="s">
        <v>736</v>
      </c>
      <c r="W254" s="35">
        <v>111180</v>
      </c>
      <c r="X254" s="19" t="str">
        <f>IFERROR(VLOOKUP(W254,'Personel Bilgi'!A:B,2,0),"---")</f>
        <v>BERAT YUCESOY</v>
      </c>
      <c r="Y254" s="19" t="str">
        <f>IFERROR(VLOOKUP(W254,'Personel Bilgi'!A:C,3,0),"---")</f>
        <v>MUHAMMET AKSU</v>
      </c>
      <c r="Z254" s="22" t="s">
        <v>95</v>
      </c>
      <c r="AA254" s="22" t="s">
        <v>617</v>
      </c>
      <c r="AB254" s="22" t="s">
        <v>61</v>
      </c>
      <c r="AC254" s="21" t="s">
        <v>41</v>
      </c>
      <c r="AD254" s="21" t="s">
        <v>42</v>
      </c>
    </row>
    <row r="255" spans="1:31" x14ac:dyDescent="0.25">
      <c r="A255" s="19" t="s">
        <v>11</v>
      </c>
      <c r="B255" s="22" t="s">
        <v>995</v>
      </c>
      <c r="C255" s="28">
        <v>5541323834</v>
      </c>
      <c r="D255" s="22" t="s">
        <v>12</v>
      </c>
      <c r="E255" s="22" t="str">
        <f>IFERROR(VLOOKUP(D255,Tanımlar!C:D,2,0),"- - -")</f>
        <v>DAĞITIM</v>
      </c>
      <c r="F255" s="28">
        <v>500034</v>
      </c>
      <c r="G255" s="28" t="str">
        <f>IFERROR(VLOOKUP(F255,'Personel Bilgi'!A:B,2,0),"- - - ")</f>
        <v>SINEM TANHUS</v>
      </c>
      <c r="H255" s="28" t="str">
        <f>IFERROR(VLOOKUP(F255,'Personel Bilgi'!A:D,3,0),"- - -")</f>
        <v>ERDOGAN DURUK</v>
      </c>
      <c r="I255" s="28" t="str">
        <f>IFERROR(VLOOKUP(F255,'Personel Bilgi'!A:D,4,0),"- - -")</f>
        <v>ERZURUM</v>
      </c>
      <c r="J255" s="28" t="str">
        <f>IFERROR(VLOOKUP(F255,'Personel Bilgi'!A:E,5,0),"- - -")</f>
        <v>TAKIM LİDERİ</v>
      </c>
      <c r="K255" s="22" t="s">
        <v>59</v>
      </c>
      <c r="L255" s="21" t="s">
        <v>97</v>
      </c>
      <c r="M255" s="21" t="s">
        <v>734</v>
      </c>
      <c r="N255" s="36">
        <v>46009</v>
      </c>
      <c r="O255" s="36">
        <v>46010</v>
      </c>
      <c r="P255" s="19" t="s">
        <v>79</v>
      </c>
      <c r="Q255" s="37" t="s">
        <v>735</v>
      </c>
      <c r="R255" s="21" t="s">
        <v>790</v>
      </c>
      <c r="S255" s="21" t="s">
        <v>92</v>
      </c>
      <c r="T255" s="21" t="s">
        <v>94</v>
      </c>
      <c r="U255" s="21">
        <v>0</v>
      </c>
      <c r="V255" s="21" t="s">
        <v>736</v>
      </c>
      <c r="W255" s="35">
        <v>111170</v>
      </c>
      <c r="X255" s="19" t="str">
        <f>IFERROR(VLOOKUP(W255,'Personel Bilgi'!A:B,2,0),"---")</f>
        <v>SEVINC TOK</v>
      </c>
      <c r="Y255" s="19" t="str">
        <f>IFERROR(VLOOKUP(W255,'Personel Bilgi'!A:C,3,0),"---")</f>
        <v>MUSTAFA OZAYAG</v>
      </c>
      <c r="Z255" s="22" t="s">
        <v>95</v>
      </c>
      <c r="AA255" s="22" t="s">
        <v>617</v>
      </c>
      <c r="AB255" s="22" t="s">
        <v>59</v>
      </c>
      <c r="AC255" s="21" t="s">
        <v>97</v>
      </c>
      <c r="AD255" s="21" t="s">
        <v>734</v>
      </c>
    </row>
    <row r="256" spans="1:31" x14ac:dyDescent="0.25">
      <c r="A256" s="19" t="s">
        <v>11</v>
      </c>
      <c r="B256" s="22" t="s">
        <v>996</v>
      </c>
      <c r="C256" s="28">
        <v>5513880313</v>
      </c>
      <c r="D256" s="22" t="s">
        <v>14</v>
      </c>
      <c r="E256" s="22" t="str">
        <f>IFERROR(VLOOKUP(D256,Tanımlar!C:D,2,0),"- - -")</f>
        <v>DAĞITIM</v>
      </c>
      <c r="F256" s="28">
        <v>500112</v>
      </c>
      <c r="G256" s="28" t="str">
        <f>IFERROR(VLOOKUP(F256,'Personel Bilgi'!A:B,2,0),"- - - ")</f>
        <v>RUMEYSA TOZLU</v>
      </c>
      <c r="H256" s="28" t="str">
        <f>IFERROR(VLOOKUP(F256,'Personel Bilgi'!A:D,3,0),"- - -")</f>
        <v>METEHAN EMRE SIRMALI</v>
      </c>
      <c r="I256" s="28" t="str">
        <f>IFERROR(VLOOKUP(F256,'Personel Bilgi'!A:D,4,0),"- - -")</f>
        <v>ERZURUM</v>
      </c>
      <c r="J256" s="28" t="str">
        <f>IFERROR(VLOOKUP(F256,'Personel Bilgi'!A:E,5,0),"- - -")</f>
        <v>MÜŞTERİ TEMSİLCİSİ</v>
      </c>
      <c r="K256" s="22" t="s">
        <v>49</v>
      </c>
      <c r="L256" s="21" t="s">
        <v>97</v>
      </c>
      <c r="M256" s="21" t="s">
        <v>734</v>
      </c>
      <c r="N256" s="36">
        <v>46010</v>
      </c>
      <c r="O256" s="36">
        <v>46010</v>
      </c>
      <c r="P256" s="19" t="s">
        <v>79</v>
      </c>
      <c r="Q256" s="37" t="s">
        <v>735</v>
      </c>
      <c r="R256" s="21" t="s">
        <v>790</v>
      </c>
      <c r="S256" s="21" t="s">
        <v>92</v>
      </c>
      <c r="T256" s="21" t="s">
        <v>94</v>
      </c>
      <c r="U256" s="21">
        <v>0</v>
      </c>
      <c r="V256" s="21" t="s">
        <v>736</v>
      </c>
      <c r="W256" s="35">
        <v>500145</v>
      </c>
      <c r="X256" s="19" t="str">
        <f>IFERROR(VLOOKUP(W256,'Personel Bilgi'!A:B,2,0),"---")</f>
        <v>BELMA ONAL</v>
      </c>
      <c r="Y256" s="19" t="str">
        <f>IFERROR(VLOOKUP(W256,'Personel Bilgi'!A:C,3,0),"---")</f>
        <v>KURSAD TERCANLI</v>
      </c>
      <c r="Z256" s="22" t="s">
        <v>95</v>
      </c>
      <c r="AA256" s="22" t="s">
        <v>617</v>
      </c>
      <c r="AB256" s="22" t="s">
        <v>49</v>
      </c>
      <c r="AC256" s="21" t="s">
        <v>97</v>
      </c>
      <c r="AD256" s="21" t="s">
        <v>734</v>
      </c>
    </row>
    <row r="257" spans="1:30" x14ac:dyDescent="0.25">
      <c r="A257" s="19" t="s">
        <v>11</v>
      </c>
      <c r="B257" s="22" t="s">
        <v>997</v>
      </c>
      <c r="C257" s="28">
        <v>5416183558</v>
      </c>
      <c r="D257" s="22" t="s">
        <v>17</v>
      </c>
      <c r="E257" s="22" t="str">
        <f>IFERROR(VLOOKUP(D257,Tanımlar!C:D,2,0),"- - -")</f>
        <v>PERAKENDE</v>
      </c>
      <c r="F257" s="28">
        <v>111081</v>
      </c>
      <c r="G257" s="28" t="str">
        <f>IFERROR(VLOOKUP(F257,'Personel Bilgi'!A:B,2,0),"- - - ")</f>
        <v>KADIR DALMIS</v>
      </c>
      <c r="H257" s="28" t="str">
        <f>IFERROR(VLOOKUP(F257,'Personel Bilgi'!A:D,3,0),"- - -")</f>
        <v>DILAN ORNEK</v>
      </c>
      <c r="I257" s="28" t="str">
        <f>IFERROR(VLOOKUP(F257,'Personel Bilgi'!A:D,4,0),"- - -")</f>
        <v>KARS</v>
      </c>
      <c r="J257" s="28" t="str">
        <f>IFERROR(VLOOKUP(F257,'Personel Bilgi'!A:E,5,0),"- - -")</f>
        <v>MÜŞTERİ TEMSİLCİSİ</v>
      </c>
      <c r="K257" s="22" t="s">
        <v>71</v>
      </c>
      <c r="L257" s="22" t="s">
        <v>47</v>
      </c>
      <c r="M257" s="21" t="s">
        <v>603</v>
      </c>
      <c r="N257" s="36">
        <v>46000</v>
      </c>
      <c r="O257" s="36">
        <v>46010</v>
      </c>
      <c r="P257" s="21" t="s">
        <v>80</v>
      </c>
      <c r="Q257" s="37" t="s">
        <v>735</v>
      </c>
      <c r="R257" s="21" t="s">
        <v>790</v>
      </c>
      <c r="S257" s="21" t="s">
        <v>92</v>
      </c>
      <c r="T257" s="21" t="s">
        <v>95</v>
      </c>
      <c r="U257" s="21">
        <v>100</v>
      </c>
      <c r="V257" s="21" t="s">
        <v>736</v>
      </c>
      <c r="W257" s="35">
        <v>111081</v>
      </c>
      <c r="X257" s="19" t="str">
        <f>IFERROR(VLOOKUP(W257,'Personel Bilgi'!A:B,2,0),"---")</f>
        <v>KADIR DALMIS</v>
      </c>
      <c r="Y257" s="19" t="str">
        <f>IFERROR(VLOOKUP(W257,'Personel Bilgi'!A:C,3,0),"---")</f>
        <v>DILAN ORNEK</v>
      </c>
      <c r="Z257" s="22" t="s">
        <v>95</v>
      </c>
      <c r="AA257" s="22" t="s">
        <v>617</v>
      </c>
      <c r="AB257" s="22" t="s">
        <v>71</v>
      </c>
      <c r="AC257" s="22" t="s">
        <v>47</v>
      </c>
      <c r="AD257" s="21" t="s">
        <v>603</v>
      </c>
    </row>
    <row r="258" spans="1:30" x14ac:dyDescent="0.25">
      <c r="A258" s="19" t="s">
        <v>11</v>
      </c>
      <c r="B258" s="22" t="s">
        <v>998</v>
      </c>
      <c r="C258" s="28">
        <v>5336600110</v>
      </c>
      <c r="D258" s="22" t="s">
        <v>15</v>
      </c>
      <c r="E258" s="22" t="str">
        <f>IFERROR(VLOOKUP(D258,Tanımlar!C:D,2,0),"- - -")</f>
        <v>PERAKENDE</v>
      </c>
      <c r="F258" s="28">
        <v>600655</v>
      </c>
      <c r="G258" s="28" t="str">
        <f>IFERROR(VLOOKUP(F258,'Personel Bilgi'!A:B,2,0),"- - - ")</f>
        <v>OYKU CARDAKLI</v>
      </c>
      <c r="H258" s="28" t="str">
        <f>IFERROR(VLOOKUP(F258,'Personel Bilgi'!A:D,3,0),"- - -")</f>
        <v xml:space="preserve">İNAN UMUT ÖRNEK </v>
      </c>
      <c r="I258" s="28" t="str">
        <f>IFERROR(VLOOKUP(F258,'Personel Bilgi'!A:D,4,0),"- - -")</f>
        <v>ANKARA</v>
      </c>
      <c r="J258" s="28" t="str">
        <f>IFERROR(VLOOKUP(F258,'Personel Bilgi'!A:E,5,0),"- - -")</f>
        <v>MÜŞTERİ TEMSİLCİSİ</v>
      </c>
      <c r="K258" s="22" t="s">
        <v>70</v>
      </c>
      <c r="L258" s="21" t="s">
        <v>97</v>
      </c>
      <c r="M258" s="21" t="s">
        <v>21</v>
      </c>
      <c r="N258" s="36">
        <v>46009</v>
      </c>
      <c r="O258" s="36">
        <v>46010</v>
      </c>
      <c r="P258" s="21" t="s">
        <v>1145</v>
      </c>
      <c r="Q258" s="37" t="s">
        <v>735</v>
      </c>
      <c r="R258" s="21" t="s">
        <v>790</v>
      </c>
      <c r="S258" s="21" t="s">
        <v>92</v>
      </c>
      <c r="T258" s="21" t="s">
        <v>94</v>
      </c>
      <c r="U258" s="21">
        <v>0</v>
      </c>
      <c r="V258" s="21" t="s">
        <v>736</v>
      </c>
      <c r="W258" s="35">
        <v>110672</v>
      </c>
      <c r="X258" s="19" t="str">
        <f>IFERROR(VLOOKUP(W258,'Personel Bilgi'!A:B,2,0),"---")</f>
        <v>ALI TURKOGLU</v>
      </c>
      <c r="Y258" s="19" t="str">
        <f>IFERROR(VLOOKUP(W258,'Personel Bilgi'!A:C,3,0),"---")</f>
        <v>DILAN ORNEK</v>
      </c>
      <c r="Z258" s="22" t="s">
        <v>95</v>
      </c>
      <c r="AA258" s="22" t="s">
        <v>617</v>
      </c>
      <c r="AB258" s="22" t="s">
        <v>70</v>
      </c>
      <c r="AC258" s="21" t="s">
        <v>97</v>
      </c>
      <c r="AD258" s="21" t="s">
        <v>21</v>
      </c>
    </row>
    <row r="259" spans="1:30" x14ac:dyDescent="0.25">
      <c r="A259" s="19" t="s">
        <v>11</v>
      </c>
      <c r="B259" s="22" t="s">
        <v>998</v>
      </c>
      <c r="C259" s="28">
        <v>5336600110</v>
      </c>
      <c r="D259" s="22" t="s">
        <v>15</v>
      </c>
      <c r="E259" s="22" t="str">
        <f>IFERROR(VLOOKUP(D259,Tanımlar!C:D,2,0),"- - -")</f>
        <v>PERAKENDE</v>
      </c>
      <c r="F259" s="28">
        <v>111223</v>
      </c>
      <c r="G259" s="28" t="str">
        <f>IFERROR(VLOOKUP(F259,'Personel Bilgi'!A:B,2,0),"- - - ")</f>
        <v>PINAR YOKUS</v>
      </c>
      <c r="H259" s="28" t="str">
        <f>IFERROR(VLOOKUP(F259,'Personel Bilgi'!A:D,3,0),"- - -")</f>
        <v>CEYHAN AYRIC</v>
      </c>
      <c r="I259" s="28" t="str">
        <f>IFERROR(VLOOKUP(F259,'Personel Bilgi'!A:D,4,0),"- - -")</f>
        <v>KARS</v>
      </c>
      <c r="J259" s="28" t="str">
        <f>IFERROR(VLOOKUP(F259,'Personel Bilgi'!A:E,5,0),"- - -")</f>
        <v>TAKIM LİDERİ</v>
      </c>
      <c r="K259" s="22" t="s">
        <v>70</v>
      </c>
      <c r="L259" s="21" t="s">
        <v>97</v>
      </c>
      <c r="M259" s="21" t="s">
        <v>21</v>
      </c>
      <c r="N259" s="36">
        <v>46009</v>
      </c>
      <c r="O259" s="36">
        <v>46010</v>
      </c>
      <c r="P259" s="21" t="s">
        <v>1145</v>
      </c>
      <c r="Q259" s="37" t="s">
        <v>735</v>
      </c>
      <c r="R259" s="21" t="s">
        <v>790</v>
      </c>
      <c r="S259" s="21" t="s">
        <v>92</v>
      </c>
      <c r="T259" s="21" t="s">
        <v>94</v>
      </c>
      <c r="U259" s="21">
        <v>0</v>
      </c>
      <c r="V259" s="21" t="s">
        <v>736</v>
      </c>
      <c r="W259" s="35">
        <v>110672</v>
      </c>
      <c r="X259" s="19" t="str">
        <f>IFERROR(VLOOKUP(W259,'Personel Bilgi'!A:B,2,0),"---")</f>
        <v>ALI TURKOGLU</v>
      </c>
      <c r="Y259" s="19" t="str">
        <f>IFERROR(VLOOKUP(W259,'Personel Bilgi'!A:C,3,0),"---")</f>
        <v>DILAN ORNEK</v>
      </c>
      <c r="Z259" s="22" t="s">
        <v>95</v>
      </c>
      <c r="AA259" s="22" t="s">
        <v>617</v>
      </c>
      <c r="AB259" s="22" t="s">
        <v>70</v>
      </c>
      <c r="AC259" s="21" t="s">
        <v>97</v>
      </c>
      <c r="AD259" s="21" t="s">
        <v>21</v>
      </c>
    </row>
    <row r="260" spans="1:30" x14ac:dyDescent="0.25">
      <c r="A260" s="19" t="s">
        <v>11</v>
      </c>
      <c r="B260" s="22" t="s">
        <v>999</v>
      </c>
      <c r="C260" s="28">
        <v>5348391230</v>
      </c>
      <c r="D260" s="22" t="s">
        <v>15</v>
      </c>
      <c r="E260" s="22" t="str">
        <f>IFERROR(VLOOKUP(D260,Tanımlar!C:D,2,0),"- - -")</f>
        <v>PERAKENDE</v>
      </c>
      <c r="F260" s="28">
        <v>111201</v>
      </c>
      <c r="G260" s="28" t="str">
        <f>IFERROR(VLOOKUP(F260,'Personel Bilgi'!A:B,2,0),"- - - ")</f>
        <v>MELISA COSKUNOZ</v>
      </c>
      <c r="H260" s="28" t="str">
        <f>IFERROR(VLOOKUP(F260,'Personel Bilgi'!A:D,3,0),"- - -")</f>
        <v>KURTHAN FERDI CIHANTIMUR</v>
      </c>
      <c r="I260" s="28" t="str">
        <f>IFERROR(VLOOKUP(F260,'Personel Bilgi'!A:D,4,0),"- - -")</f>
        <v>KARS</v>
      </c>
      <c r="J260" s="28" t="str">
        <f>IFERROR(VLOOKUP(F260,'Personel Bilgi'!A:E,5,0),"- - -")</f>
        <v>MÜŞTERİ TEMSİLCİSİ</v>
      </c>
      <c r="K260" s="22" t="s">
        <v>66</v>
      </c>
      <c r="L260" s="21" t="s">
        <v>97</v>
      </c>
      <c r="M260" s="27" t="s">
        <v>734</v>
      </c>
      <c r="N260" s="36">
        <v>46009</v>
      </c>
      <c r="O260" s="36">
        <v>46010</v>
      </c>
      <c r="P260" s="21" t="s">
        <v>81</v>
      </c>
      <c r="Q260" s="37" t="s">
        <v>735</v>
      </c>
      <c r="R260" s="21" t="s">
        <v>790</v>
      </c>
      <c r="S260" s="21" t="s">
        <v>92</v>
      </c>
      <c r="T260" s="21" t="s">
        <v>95</v>
      </c>
      <c r="U260" s="21">
        <v>98</v>
      </c>
      <c r="V260" s="21" t="s">
        <v>736</v>
      </c>
      <c r="W260" s="35">
        <v>111201</v>
      </c>
      <c r="X260" s="19" t="str">
        <f>IFERROR(VLOOKUP(W260,'Personel Bilgi'!A:B,2,0),"---")</f>
        <v>MELISA COSKUNOZ</v>
      </c>
      <c r="Y260" s="19" t="str">
        <f>IFERROR(VLOOKUP(W260,'Personel Bilgi'!A:C,3,0),"---")</f>
        <v>KURTHAN FERDI CIHANTIMUR</v>
      </c>
      <c r="Z260" s="22" t="s">
        <v>95</v>
      </c>
      <c r="AA260" s="22" t="s">
        <v>617</v>
      </c>
      <c r="AB260" s="22" t="s">
        <v>66</v>
      </c>
      <c r="AC260" s="21" t="s">
        <v>97</v>
      </c>
      <c r="AD260" s="21" t="s">
        <v>734</v>
      </c>
    </row>
    <row r="261" spans="1:30" x14ac:dyDescent="0.25">
      <c r="A261" s="19" t="s">
        <v>11</v>
      </c>
      <c r="B261" s="22" t="s">
        <v>1000</v>
      </c>
      <c r="C261" s="28">
        <v>5323632331</v>
      </c>
      <c r="D261" s="22" t="s">
        <v>14</v>
      </c>
      <c r="E261" s="22" t="str">
        <f>IFERROR(VLOOKUP(D261,Tanımlar!C:D,2,0),"- - -")</f>
        <v>DAĞITIM</v>
      </c>
      <c r="F261" s="28">
        <v>500073</v>
      </c>
      <c r="G261" s="22" t="s">
        <v>936</v>
      </c>
      <c r="H261" s="28" t="str">
        <f>IFERROR(VLOOKUP(F261,'Personel Bilgi'!A:D,3,0),"- - -")</f>
        <v>MUHAMMED TARIK KUÇUK</v>
      </c>
      <c r="I261" s="28" t="str">
        <f>IFERROR(VLOOKUP(F261,'Personel Bilgi'!A:D,4,0),"- - -")</f>
        <v>ERZURUM</v>
      </c>
      <c r="J261" s="28" t="str">
        <f>IFERROR(VLOOKUP(F261,'Personel Bilgi'!A:E,5,0),"- - -")</f>
        <v>TAKIM LİDERİ</v>
      </c>
      <c r="K261" s="22" t="s">
        <v>49</v>
      </c>
      <c r="L261" s="21" t="s">
        <v>97</v>
      </c>
      <c r="M261" s="27" t="s">
        <v>734</v>
      </c>
      <c r="N261" s="36">
        <v>46010</v>
      </c>
      <c r="O261" s="36">
        <v>46013</v>
      </c>
      <c r="P261" s="21" t="s">
        <v>81</v>
      </c>
      <c r="Q261" s="37" t="s">
        <v>735</v>
      </c>
      <c r="R261" s="19" t="s">
        <v>86</v>
      </c>
      <c r="S261" s="21" t="s">
        <v>93</v>
      </c>
      <c r="T261" s="21" t="s">
        <v>95</v>
      </c>
      <c r="U261" s="21" t="s">
        <v>735</v>
      </c>
      <c r="V261" s="21" t="s">
        <v>736</v>
      </c>
      <c r="W261" s="35">
        <v>500031</v>
      </c>
      <c r="X261" s="19" t="str">
        <f>IFERROR(VLOOKUP(W261,'Personel Bilgi'!A:B,2,0),"---")</f>
        <v>OZGEN ERTEK</v>
      </c>
      <c r="Y261" s="19" t="str">
        <f>IFERROR(VLOOKUP(W261,'Personel Bilgi'!A:C,3,0),"---")</f>
        <v>ERDOGAN DURUK</v>
      </c>
      <c r="Z261" s="22" t="s">
        <v>95</v>
      </c>
      <c r="AA261" s="22" t="s">
        <v>617</v>
      </c>
      <c r="AB261" s="22" t="s">
        <v>49</v>
      </c>
      <c r="AC261" s="21" t="s">
        <v>97</v>
      </c>
      <c r="AD261" s="21" t="s">
        <v>734</v>
      </c>
    </row>
    <row r="262" spans="1:30" x14ac:dyDescent="0.25">
      <c r="A262" s="19" t="s">
        <v>11</v>
      </c>
      <c r="B262" s="22" t="s">
        <v>1001</v>
      </c>
      <c r="C262" s="28">
        <v>5457259523</v>
      </c>
      <c r="D262" s="22" t="s">
        <v>14</v>
      </c>
      <c r="E262" s="22" t="str">
        <f>IFERROR(VLOOKUP(D262,Tanımlar!C:D,2,0),"- - -")</f>
        <v>DAĞITIM</v>
      </c>
      <c r="F262" s="28">
        <v>111193</v>
      </c>
      <c r="G262" s="28" t="str">
        <f>IFERROR(VLOOKUP(F262,'Personel Bilgi'!A:B,2,0),"- - - ")</f>
        <v>ROJDA BAHAR AKKAYA</v>
      </c>
      <c r="H262" s="28" t="str">
        <f>IFERROR(VLOOKUP(F262,'Personel Bilgi'!A:D,3,0),"- - -")</f>
        <v>ERCUMENT GUNESSU</v>
      </c>
      <c r="I262" s="28" t="str">
        <f>IFERROR(VLOOKUP(F262,'Personel Bilgi'!A:D,4,0),"- - -")</f>
        <v>KARS</v>
      </c>
      <c r="J262" s="28" t="str">
        <f>IFERROR(VLOOKUP(F262,'Personel Bilgi'!A:E,5,0),"- - -")</f>
        <v>MÜŞTERİ TEMSİLCİSİ</v>
      </c>
      <c r="K262" s="22" t="s">
        <v>49</v>
      </c>
      <c r="L262" s="19" t="s">
        <v>41</v>
      </c>
      <c r="M262" s="27" t="s">
        <v>42</v>
      </c>
      <c r="N262" s="36">
        <v>46010</v>
      </c>
      <c r="O262" s="36">
        <v>46013</v>
      </c>
      <c r="P262" s="21" t="s">
        <v>1145</v>
      </c>
      <c r="Q262" s="37" t="s">
        <v>735</v>
      </c>
      <c r="R262" s="19" t="s">
        <v>86</v>
      </c>
      <c r="S262" s="21" t="s">
        <v>92</v>
      </c>
      <c r="T262" s="21" t="s">
        <v>95</v>
      </c>
      <c r="U262" s="21">
        <v>64</v>
      </c>
      <c r="V262" s="21" t="s">
        <v>736</v>
      </c>
      <c r="W262" s="35">
        <v>111193</v>
      </c>
      <c r="X262" s="19" t="str">
        <f>IFERROR(VLOOKUP(W262,'Personel Bilgi'!A:B,2,0),"---")</f>
        <v>ROJDA BAHAR AKKAYA</v>
      </c>
      <c r="Y262" s="19" t="str">
        <f>IFERROR(VLOOKUP(W262,'Personel Bilgi'!A:C,3,0),"---")</f>
        <v>ERCUMENT GUNESSU</v>
      </c>
      <c r="Z262" s="22" t="s">
        <v>94</v>
      </c>
      <c r="AA262" s="22" t="s">
        <v>616</v>
      </c>
      <c r="AB262" s="22" t="s">
        <v>49</v>
      </c>
      <c r="AC262" s="19" t="s">
        <v>41</v>
      </c>
      <c r="AD262" s="27" t="s">
        <v>42</v>
      </c>
    </row>
    <row r="263" spans="1:30" x14ac:dyDescent="0.25">
      <c r="A263" s="19" t="s">
        <v>11</v>
      </c>
      <c r="B263" s="22" t="s">
        <v>1002</v>
      </c>
      <c r="C263" s="28">
        <v>5340125239</v>
      </c>
      <c r="D263" s="22" t="s">
        <v>14</v>
      </c>
      <c r="E263" s="22" t="str">
        <f>IFERROR(VLOOKUP(D263,Tanımlar!C:D,2,0),"- - -")</f>
        <v>DAĞITIM</v>
      </c>
      <c r="F263" s="28">
        <v>600632</v>
      </c>
      <c r="G263" s="28" t="str">
        <f>IFERROR(VLOOKUP(F263,'Personel Bilgi'!A:B,2,0),"- - - ")</f>
        <v>YADIGAR ER</v>
      </c>
      <c r="H263" s="28" t="str">
        <f>IFERROR(VLOOKUP(F263,'Personel Bilgi'!A:D,3,0),"- - -")</f>
        <v xml:space="preserve">İNAN UMUT ÖRNEK </v>
      </c>
      <c r="I263" s="28" t="str">
        <f>IFERROR(VLOOKUP(F263,'Personel Bilgi'!A:D,4,0),"- - -")</f>
        <v>ANKARA</v>
      </c>
      <c r="J263" s="28" t="str">
        <f>IFERROR(VLOOKUP(F263,'Personel Bilgi'!A:E,5,0),"- - -")</f>
        <v>MÜŞTERİ TEMSİLCİSİ</v>
      </c>
      <c r="K263" s="22" t="s">
        <v>49</v>
      </c>
      <c r="L263" s="19" t="s">
        <v>41</v>
      </c>
      <c r="M263" s="27" t="s">
        <v>42</v>
      </c>
      <c r="N263" s="36">
        <v>46011</v>
      </c>
      <c r="O263" s="36">
        <v>46013</v>
      </c>
      <c r="P263" s="19" t="s">
        <v>79</v>
      </c>
      <c r="Q263" s="37" t="s">
        <v>735</v>
      </c>
      <c r="R263" s="19" t="s">
        <v>86</v>
      </c>
      <c r="S263" s="21" t="s">
        <v>92</v>
      </c>
      <c r="T263" s="21" t="s">
        <v>94</v>
      </c>
      <c r="U263" s="21">
        <v>0</v>
      </c>
      <c r="V263" s="21" t="s">
        <v>736</v>
      </c>
      <c r="W263" s="35">
        <v>600468</v>
      </c>
      <c r="X263" s="19" t="str">
        <f>IFERROR(VLOOKUP(W263,'Personel Bilgi'!A:B,2,0),"---")</f>
        <v>FATMA NUR SAHIN</v>
      </c>
      <c r="Y263" s="19" t="str">
        <f>IFERROR(VLOOKUP(W263,'Personel Bilgi'!A:C,3,0),"---")</f>
        <v xml:space="preserve">İNAN UMUT ÖRNEK </v>
      </c>
      <c r="Z263" s="22" t="s">
        <v>95</v>
      </c>
      <c r="AA263" s="22" t="s">
        <v>617</v>
      </c>
      <c r="AB263" s="22" t="s">
        <v>49</v>
      </c>
      <c r="AC263" s="19" t="s">
        <v>41</v>
      </c>
      <c r="AD263" s="27" t="s">
        <v>42</v>
      </c>
    </row>
    <row r="264" spans="1:30" x14ac:dyDescent="0.25">
      <c r="A264" s="19" t="s">
        <v>11</v>
      </c>
      <c r="B264" s="22" t="s">
        <v>1003</v>
      </c>
      <c r="C264" s="28">
        <v>5322066332</v>
      </c>
      <c r="D264" s="22" t="s">
        <v>15</v>
      </c>
      <c r="E264" s="22" t="str">
        <f>IFERROR(VLOOKUP(D264,Tanımlar!C:D,2,0),"- - -")</f>
        <v>PERAKENDE</v>
      </c>
      <c r="F264" s="28">
        <v>600807</v>
      </c>
      <c r="G264" s="28" t="str">
        <f>IFERROR(VLOOKUP(F264,'Personel Bilgi'!A:B,2,0),"- - - ")</f>
        <v>SEVVALSU ARSLAN</v>
      </c>
      <c r="H264" s="28" t="str">
        <f>IFERROR(VLOOKUP(F264,'Personel Bilgi'!A:D,3,0),"- - -")</f>
        <v>ISIK BUGRA OZDEMIR</v>
      </c>
      <c r="I264" s="28" t="str">
        <f>IFERROR(VLOOKUP(F264,'Personel Bilgi'!A:D,4,0),"- - -")</f>
        <v>ANKARA</v>
      </c>
      <c r="J264" s="28" t="str">
        <f>IFERROR(VLOOKUP(F264,'Personel Bilgi'!A:E,5,0),"- - -")</f>
        <v>MÜŞTERİ TEMSİLCİSİ</v>
      </c>
      <c r="K264" s="22" t="s">
        <v>73</v>
      </c>
      <c r="L264" s="19" t="s">
        <v>96</v>
      </c>
      <c r="M264" s="27" t="s">
        <v>30</v>
      </c>
      <c r="N264" s="36">
        <v>45926</v>
      </c>
      <c r="O264" s="36">
        <v>45996</v>
      </c>
      <c r="P264" s="21" t="s">
        <v>1145</v>
      </c>
      <c r="Q264" s="21" t="s">
        <v>724</v>
      </c>
      <c r="R264" s="21" t="s">
        <v>790</v>
      </c>
      <c r="S264" s="21" t="s">
        <v>93</v>
      </c>
      <c r="T264" s="21" t="s">
        <v>95</v>
      </c>
      <c r="U264" s="21" t="s">
        <v>735</v>
      </c>
      <c r="V264" s="21" t="s">
        <v>736</v>
      </c>
      <c r="W264" s="47">
        <v>600453</v>
      </c>
      <c r="X264" s="19" t="str">
        <f>IFERROR(VLOOKUP(W264,'Personel Bilgi'!A:B,2,0),"---")</f>
        <v>SEMA NUR KUPCU</v>
      </c>
      <c r="Y264" s="19" t="str">
        <f>IFERROR(VLOOKUP(W264,'Personel Bilgi'!A:C,3,0),"---")</f>
        <v>GORKEM SERT</v>
      </c>
      <c r="Z264" s="22" t="s">
        <v>95</v>
      </c>
      <c r="AA264" s="22" t="s">
        <v>617</v>
      </c>
      <c r="AB264" s="22" t="s">
        <v>73</v>
      </c>
      <c r="AC264" s="19" t="s">
        <v>96</v>
      </c>
      <c r="AD264" s="27" t="s">
        <v>30</v>
      </c>
    </row>
    <row r="265" spans="1:30" x14ac:dyDescent="0.25">
      <c r="A265" s="19" t="s">
        <v>11</v>
      </c>
      <c r="B265" s="22" t="s">
        <v>1004</v>
      </c>
      <c r="C265" s="28">
        <v>5494540024</v>
      </c>
      <c r="D265" s="22" t="s">
        <v>15</v>
      </c>
      <c r="E265" s="19" t="str">
        <f>IFERROR(VLOOKUP(D265,Tanımlar!C:D,2,0),"- - -")</f>
        <v>PERAKENDE</v>
      </c>
      <c r="F265" s="28">
        <v>600770</v>
      </c>
      <c r="G265" s="28" t="str">
        <f>IFERROR(VLOOKUP(F265,'Personel Bilgi'!A:B,2,0),"- - - ")</f>
        <v>ELIF NAZ ONCUL</v>
      </c>
      <c r="H265" s="28" t="str">
        <f>IFERROR(VLOOKUP(F265,'Personel Bilgi'!A:D,3,0),"- - -")</f>
        <v>ISIK BUGRA OZDEMIR</v>
      </c>
      <c r="I265" s="28" t="str">
        <f>IFERROR(VLOOKUP(F265,'Personel Bilgi'!A:D,4,0),"- - -")</f>
        <v>ANKARA</v>
      </c>
      <c r="J265" s="28" t="str">
        <f>IFERROR(VLOOKUP(F265,'Personel Bilgi'!A:E,5,0),"- - -")</f>
        <v>MÜŞTERİ TEMSİLCİSİ</v>
      </c>
      <c r="K265" s="22" t="s">
        <v>73</v>
      </c>
      <c r="L265" s="19" t="s">
        <v>96</v>
      </c>
      <c r="M265" s="27" t="s">
        <v>30</v>
      </c>
      <c r="N265" s="36">
        <v>45894</v>
      </c>
      <c r="O265" s="36">
        <v>45996</v>
      </c>
      <c r="P265" s="21" t="s">
        <v>81</v>
      </c>
      <c r="Q265" s="21" t="s">
        <v>725</v>
      </c>
      <c r="R265" s="21" t="s">
        <v>790</v>
      </c>
      <c r="S265" s="21" t="s">
        <v>93</v>
      </c>
      <c r="T265" s="21" t="s">
        <v>95</v>
      </c>
      <c r="U265" s="21" t="s">
        <v>735</v>
      </c>
      <c r="V265" s="21" t="s">
        <v>736</v>
      </c>
      <c r="W265" s="47">
        <v>110742</v>
      </c>
      <c r="X265" s="19" t="str">
        <f>IFERROR(VLOOKUP(W265,'Personel Bilgi'!A:B,2,0),"---")</f>
        <v>HANDE KOC</v>
      </c>
      <c r="Y265" s="19" t="str">
        <f>IFERROR(VLOOKUP(W265,'Personel Bilgi'!A:C,3,0),"---")</f>
        <v>YAPRAK KARAKOC</v>
      </c>
      <c r="Z265" s="22" t="s">
        <v>95</v>
      </c>
      <c r="AA265" s="22" t="s">
        <v>617</v>
      </c>
      <c r="AB265" s="22" t="s">
        <v>73</v>
      </c>
      <c r="AC265" s="19" t="s">
        <v>96</v>
      </c>
      <c r="AD265" s="27" t="s">
        <v>30</v>
      </c>
    </row>
    <row r="266" spans="1:30" x14ac:dyDescent="0.25">
      <c r="A266" s="19" t="s">
        <v>11</v>
      </c>
      <c r="B266" s="22" t="s">
        <v>1005</v>
      </c>
      <c r="C266" s="28">
        <v>5331924814</v>
      </c>
      <c r="D266" s="22" t="s">
        <v>13</v>
      </c>
      <c r="E266" s="19" t="str">
        <f>IFERROR(VLOOKUP(D266,Tanımlar!C:D,2,0),"- - -")</f>
        <v>PERAKENDE</v>
      </c>
      <c r="F266" s="28">
        <v>600770</v>
      </c>
      <c r="G266" s="28" t="str">
        <f>IFERROR(VLOOKUP(F266,'Personel Bilgi'!A:B,2,0),"- - - ")</f>
        <v>ELIF NAZ ONCUL</v>
      </c>
      <c r="H266" s="28" t="str">
        <f>IFERROR(VLOOKUP(F266,'Personel Bilgi'!A:D,3,0),"- - -")</f>
        <v>ISIK BUGRA OZDEMIR</v>
      </c>
      <c r="I266" s="28" t="str">
        <f>IFERROR(VLOOKUP(F266,'Personel Bilgi'!A:D,4,0),"- - -")</f>
        <v>ANKARA</v>
      </c>
      <c r="J266" s="28" t="str">
        <f>IFERROR(VLOOKUP(F266,'Personel Bilgi'!A:E,5,0),"- - -")</f>
        <v>MÜŞTERİ TEMSİLCİSİ</v>
      </c>
      <c r="K266" s="22" t="s">
        <v>73</v>
      </c>
      <c r="L266" s="19" t="s">
        <v>41</v>
      </c>
      <c r="M266" s="27" t="s">
        <v>45</v>
      </c>
      <c r="N266" s="36">
        <v>45994</v>
      </c>
      <c r="O266" s="36">
        <v>45999</v>
      </c>
      <c r="P266" s="21" t="s">
        <v>81</v>
      </c>
      <c r="Q266" s="21" t="s">
        <v>725</v>
      </c>
      <c r="R266" s="21" t="s">
        <v>790</v>
      </c>
      <c r="S266" s="21" t="s">
        <v>93</v>
      </c>
      <c r="T266" s="21" t="s">
        <v>95</v>
      </c>
      <c r="U266" s="21" t="s">
        <v>735</v>
      </c>
      <c r="V266" s="21" t="s">
        <v>736</v>
      </c>
      <c r="W266" s="47">
        <v>600725</v>
      </c>
      <c r="X266" s="19" t="str">
        <f>IFERROR(VLOOKUP(W266,'Personel Bilgi'!A:B,2,0),"---")</f>
        <v>KEZBAN TILER</v>
      </c>
      <c r="Y266" s="19" t="str">
        <f>IFERROR(VLOOKUP(W266,'Personel Bilgi'!A:C,3,0),"---")</f>
        <v>BUSRA OLCULMUS</v>
      </c>
      <c r="Z266" s="22" t="s">
        <v>95</v>
      </c>
      <c r="AA266" s="22" t="s">
        <v>617</v>
      </c>
      <c r="AB266" s="22" t="s">
        <v>73</v>
      </c>
      <c r="AC266" s="19" t="s">
        <v>41</v>
      </c>
      <c r="AD266" s="27" t="s">
        <v>45</v>
      </c>
    </row>
    <row r="267" spans="1:30" x14ac:dyDescent="0.25">
      <c r="A267" s="19" t="s">
        <v>11</v>
      </c>
      <c r="B267" s="22" t="s">
        <v>1006</v>
      </c>
      <c r="C267" s="28">
        <v>5465441000</v>
      </c>
      <c r="D267" s="22" t="s">
        <v>15</v>
      </c>
      <c r="E267" s="19" t="str">
        <f>IFERROR(VLOOKUP(D267,Tanımlar!C:D,2,0),"- - -")</f>
        <v>PERAKENDE</v>
      </c>
      <c r="F267" s="28">
        <v>600766</v>
      </c>
      <c r="G267" s="28" t="str">
        <f>IFERROR(VLOOKUP(F267,'Personel Bilgi'!A:B,2,0),"- - - ")</f>
        <v>SADIK FURKAN OZKAN</v>
      </c>
      <c r="H267" s="28" t="str">
        <f>IFERROR(VLOOKUP(F267,'Personel Bilgi'!A:D,3,0),"- - -")</f>
        <v>ISIK BUGRA OZDEMIR</v>
      </c>
      <c r="I267" s="28" t="str">
        <f>IFERROR(VLOOKUP(F267,'Personel Bilgi'!A:D,4,0),"- - -")</f>
        <v>ANKARA</v>
      </c>
      <c r="J267" s="28" t="str">
        <f>IFERROR(VLOOKUP(F267,'Personel Bilgi'!A:E,5,0),"- - -")</f>
        <v>MÜŞTERİ TEMSİLCİSİ</v>
      </c>
      <c r="K267" s="22" t="s">
        <v>73</v>
      </c>
      <c r="L267" s="19" t="s">
        <v>96</v>
      </c>
      <c r="M267" s="27" t="s">
        <v>30</v>
      </c>
      <c r="N267" s="36">
        <v>45895</v>
      </c>
      <c r="O267" s="36">
        <v>45999</v>
      </c>
      <c r="P267" s="21" t="s">
        <v>81</v>
      </c>
      <c r="Q267" s="21" t="s">
        <v>725</v>
      </c>
      <c r="R267" s="21" t="s">
        <v>790</v>
      </c>
      <c r="S267" s="21" t="s">
        <v>93</v>
      </c>
      <c r="T267" s="21" t="s">
        <v>95</v>
      </c>
      <c r="U267" s="21" t="s">
        <v>735</v>
      </c>
      <c r="V267" s="21" t="s">
        <v>736</v>
      </c>
      <c r="W267" s="47">
        <v>600441</v>
      </c>
      <c r="X267" s="19" t="str">
        <f>IFERROR(VLOOKUP(W267,'Personel Bilgi'!A:B,2,0),"---")</f>
        <v>IREM AKTURK</v>
      </c>
      <c r="Y267" s="19" t="str">
        <f>IFERROR(VLOOKUP(W267,'Personel Bilgi'!A:C,3,0),"---")</f>
        <v>BUSRA ONDER</v>
      </c>
      <c r="Z267" s="22" t="s">
        <v>95</v>
      </c>
      <c r="AA267" s="22" t="s">
        <v>617</v>
      </c>
      <c r="AB267" s="22" t="s">
        <v>73</v>
      </c>
      <c r="AC267" s="19" t="s">
        <v>96</v>
      </c>
      <c r="AD267" s="27" t="s">
        <v>30</v>
      </c>
    </row>
    <row r="268" spans="1:30" x14ac:dyDescent="0.25">
      <c r="A268" s="19" t="s">
        <v>11</v>
      </c>
      <c r="B268" s="22" t="s">
        <v>1007</v>
      </c>
      <c r="C268" s="28">
        <v>5355148152</v>
      </c>
      <c r="D268" s="22" t="s">
        <v>13</v>
      </c>
      <c r="E268" s="19" t="str">
        <f>IFERROR(VLOOKUP(D268,Tanımlar!C:D,2,0),"- - -")</f>
        <v>PERAKENDE</v>
      </c>
      <c r="F268" s="28">
        <v>600675</v>
      </c>
      <c r="G268" s="28" t="str">
        <f>IFERROR(VLOOKUP(F268,'Personel Bilgi'!A:B,2,0),"- - - ")</f>
        <v>SELIM FIRAT TUNCER</v>
      </c>
      <c r="H268" s="28" t="str">
        <f>IFERROR(VLOOKUP(F268,'Personel Bilgi'!A:D,3,0),"- - -")</f>
        <v>AHMET RIDVAN ERDOGMUS</v>
      </c>
      <c r="I268" s="28" t="str">
        <f>IFERROR(VLOOKUP(F268,'Personel Bilgi'!A:D,4,0),"- - -")</f>
        <v>ANKARA</v>
      </c>
      <c r="J268" s="28" t="str">
        <f>IFERROR(VLOOKUP(F268,'Personel Bilgi'!A:E,5,0),"- - -")</f>
        <v>MÜŞTERİ TEMSİLCİSİ</v>
      </c>
      <c r="K268" s="22" t="s">
        <v>73</v>
      </c>
      <c r="L268" s="19" t="s">
        <v>96</v>
      </c>
      <c r="M268" s="27" t="s">
        <v>30</v>
      </c>
      <c r="N268" s="36">
        <v>45875</v>
      </c>
      <c r="O268" s="36">
        <v>46000</v>
      </c>
      <c r="P268" s="21" t="s">
        <v>1145</v>
      </c>
      <c r="Q268" s="21" t="s">
        <v>724</v>
      </c>
      <c r="R268" s="21" t="s">
        <v>790</v>
      </c>
      <c r="S268" s="21" t="s">
        <v>93</v>
      </c>
      <c r="T268" s="21" t="s">
        <v>95</v>
      </c>
      <c r="U268" s="21" t="s">
        <v>735</v>
      </c>
      <c r="V268" s="21" t="s">
        <v>736</v>
      </c>
      <c r="W268" s="47">
        <v>111217</v>
      </c>
      <c r="X268" s="19" t="str">
        <f>IFERROR(VLOOKUP(W268,'Personel Bilgi'!A:B,2,0),"---")</f>
        <v>BERAT SARIDAG</v>
      </c>
      <c r="Y268" s="19" t="str">
        <f>IFERROR(VLOOKUP(W268,'Personel Bilgi'!A:C,3,0),"---")</f>
        <v>KURTHAN FERDI CIHANTIMUR</v>
      </c>
      <c r="Z268" s="22" t="s">
        <v>95</v>
      </c>
      <c r="AA268" s="22" t="s">
        <v>617</v>
      </c>
      <c r="AB268" s="22" t="s">
        <v>73</v>
      </c>
      <c r="AC268" s="19" t="s">
        <v>96</v>
      </c>
      <c r="AD268" s="27" t="s">
        <v>30</v>
      </c>
    </row>
    <row r="269" spans="1:30" x14ac:dyDescent="0.25">
      <c r="A269" s="19" t="s">
        <v>11</v>
      </c>
      <c r="B269" s="22" t="s">
        <v>1008</v>
      </c>
      <c r="C269" s="28">
        <v>5352055630</v>
      </c>
      <c r="D269" s="22" t="s">
        <v>14</v>
      </c>
      <c r="E269" s="22" t="str">
        <f>IFERROR(VLOOKUP(D269,Tanımlar!C:D,2,0),"- - -")</f>
        <v>DAĞITIM</v>
      </c>
      <c r="F269" s="28">
        <v>600625</v>
      </c>
      <c r="G269" s="28" t="str">
        <f>IFERROR(VLOOKUP(F269,'Personel Bilgi'!A:B,2,0),"- - - ")</f>
        <v>UMMUGULSUM DILARA UZUNDERE</v>
      </c>
      <c r="H269" s="28" t="str">
        <f>IFERROR(VLOOKUP(F269,'Personel Bilgi'!A:D,3,0),"- - -")</f>
        <v>FERHAT DEMIR</v>
      </c>
      <c r="I269" s="28" t="str">
        <f>IFERROR(VLOOKUP(F269,'Personel Bilgi'!A:D,4,0),"- - -")</f>
        <v>ANKARA</v>
      </c>
      <c r="J269" s="28" t="str">
        <f>IFERROR(VLOOKUP(F269,'Personel Bilgi'!A:E,5,0),"- - -")</f>
        <v>MÜŞTERİ TEMSİLCİSİ</v>
      </c>
      <c r="K269" s="22" t="s">
        <v>49</v>
      </c>
      <c r="L269" s="19" t="s">
        <v>41</v>
      </c>
      <c r="M269" s="27" t="s">
        <v>42</v>
      </c>
      <c r="N269" s="36">
        <v>46011</v>
      </c>
      <c r="O269" s="36">
        <v>46013</v>
      </c>
      <c r="P269" s="21" t="s">
        <v>1145</v>
      </c>
      <c r="Q269" s="37" t="s">
        <v>735</v>
      </c>
      <c r="R269" s="19" t="s">
        <v>86</v>
      </c>
      <c r="S269" s="21" t="s">
        <v>92</v>
      </c>
      <c r="T269" s="21" t="s">
        <v>95</v>
      </c>
      <c r="U269" s="21">
        <v>64</v>
      </c>
      <c r="V269" s="21" t="s">
        <v>736</v>
      </c>
      <c r="W269" s="47">
        <v>600658</v>
      </c>
      <c r="X269" s="19" t="str">
        <f>IFERROR(VLOOKUP(W269,'Personel Bilgi'!A:B,2,0),"---")</f>
        <v>SILA NAILLIOGLU</v>
      </c>
      <c r="Y269" s="19" t="str">
        <f>IFERROR(VLOOKUP(W269,'Personel Bilgi'!A:C,3,0),"---")</f>
        <v>FERHAT DEMIR</v>
      </c>
      <c r="Z269" s="22" t="s">
        <v>95</v>
      </c>
      <c r="AA269" s="22" t="s">
        <v>617</v>
      </c>
      <c r="AB269" s="22" t="s">
        <v>49</v>
      </c>
      <c r="AC269" s="19" t="s">
        <v>41</v>
      </c>
      <c r="AD269" s="27" t="s">
        <v>42</v>
      </c>
    </row>
    <row r="270" spans="1:30" x14ac:dyDescent="0.25">
      <c r="A270" s="19" t="s">
        <v>11</v>
      </c>
      <c r="B270" s="22" t="s">
        <v>1009</v>
      </c>
      <c r="C270" s="28">
        <v>5454613237</v>
      </c>
      <c r="D270" s="22" t="s">
        <v>14</v>
      </c>
      <c r="E270" s="22" t="str">
        <f>IFERROR(VLOOKUP(D270,Tanımlar!C:D,2,0),"- - -")</f>
        <v>DAĞITIM</v>
      </c>
      <c r="F270" s="28"/>
      <c r="G270" s="28" t="str">
        <f>IFERROR(VLOOKUP(F270,'Personel Bilgi'!A:B,2,0),"- - - ")</f>
        <v xml:space="preserve">- - - </v>
      </c>
      <c r="H270" s="28" t="str">
        <f>IFERROR(VLOOKUP(F270,'Personel Bilgi'!A:D,3,0),"- - -")</f>
        <v>- - -</v>
      </c>
      <c r="I270" s="28" t="str">
        <f>IFERROR(VLOOKUP(F270,'Personel Bilgi'!A:D,4,0),"- - -")</f>
        <v>- - -</v>
      </c>
      <c r="J270" s="28" t="str">
        <f>IFERROR(VLOOKUP(F270,'Personel Bilgi'!A:E,5,0),"- - -")</f>
        <v>- - -</v>
      </c>
      <c r="K270" s="22"/>
      <c r="L270" s="19"/>
      <c r="M270" s="46" t="s">
        <v>864</v>
      </c>
      <c r="N270" s="36"/>
      <c r="O270" s="36">
        <v>46013</v>
      </c>
      <c r="P270" s="21" t="s">
        <v>81</v>
      </c>
      <c r="Q270" s="37" t="s">
        <v>735</v>
      </c>
      <c r="R270" s="19" t="s">
        <v>86</v>
      </c>
      <c r="S270" s="21" t="s">
        <v>93</v>
      </c>
      <c r="T270" s="21" t="s">
        <v>95</v>
      </c>
      <c r="U270" s="21" t="s">
        <v>735</v>
      </c>
      <c r="V270" s="21" t="s">
        <v>736</v>
      </c>
      <c r="W270" s="47">
        <v>500171</v>
      </c>
      <c r="X270" s="19" t="str">
        <f>IFERROR(VLOOKUP(W270,'Personel Bilgi'!A:B,2,0),"---")</f>
        <v>BURCU OZER</v>
      </c>
      <c r="Y270" s="19" t="str">
        <f>IFERROR(VLOOKUP(W270,'Personel Bilgi'!A:C,3,0),"---")</f>
        <v>MEHMET ALI SAVAN</v>
      </c>
      <c r="Z270" s="22" t="s">
        <v>94</v>
      </c>
      <c r="AA270" s="22" t="s">
        <v>616</v>
      </c>
      <c r="AB270" s="22" t="s">
        <v>49</v>
      </c>
      <c r="AC270" s="19" t="s">
        <v>41</v>
      </c>
      <c r="AD270" s="27" t="s">
        <v>42</v>
      </c>
    </row>
    <row r="271" spans="1:30" x14ac:dyDescent="0.25">
      <c r="A271" s="19" t="s">
        <v>11</v>
      </c>
      <c r="B271" s="22" t="s">
        <v>1010</v>
      </c>
      <c r="C271" s="28">
        <v>5415915824</v>
      </c>
      <c r="D271" s="22" t="s">
        <v>14</v>
      </c>
      <c r="E271" s="22" t="str">
        <f>IFERROR(VLOOKUP(D271,Tanımlar!C:D,2,0),"- - -")</f>
        <v>DAĞITIM</v>
      </c>
      <c r="F271" s="28">
        <v>110424</v>
      </c>
      <c r="G271" s="28" t="str">
        <f>IFERROR(VLOOKUP(F271,'Personel Bilgi'!A:B,2,0),"- - - ")</f>
        <v>ONUR POLAT</v>
      </c>
      <c r="H271" s="28" t="str">
        <f>IFERROR(VLOOKUP(F271,'Personel Bilgi'!A:D,3,0),"- - -")</f>
        <v>MUSTAFA OZAYAG</v>
      </c>
      <c r="I271" s="28" t="str">
        <f>IFERROR(VLOOKUP(F271,'Personel Bilgi'!A:D,4,0),"- - -")</f>
        <v>KARS</v>
      </c>
      <c r="J271" s="28" t="str">
        <f>IFERROR(VLOOKUP(F271,'Personel Bilgi'!A:E,5,0),"- - -")</f>
        <v>MÜŞTERİ TEMSİLCİSİ</v>
      </c>
      <c r="K271" s="22" t="s">
        <v>49</v>
      </c>
      <c r="L271" s="19" t="s">
        <v>41</v>
      </c>
      <c r="M271" s="27" t="s">
        <v>42</v>
      </c>
      <c r="N271" s="36">
        <v>46012</v>
      </c>
      <c r="O271" s="36">
        <v>46013</v>
      </c>
      <c r="P271" s="21" t="s">
        <v>1145</v>
      </c>
      <c r="Q271" s="37" t="s">
        <v>735</v>
      </c>
      <c r="R271" s="19" t="s">
        <v>86</v>
      </c>
      <c r="S271" s="21" t="s">
        <v>92</v>
      </c>
      <c r="T271" s="21" t="s">
        <v>95</v>
      </c>
      <c r="U271" s="21">
        <v>56</v>
      </c>
      <c r="V271" s="21" t="s">
        <v>736</v>
      </c>
      <c r="W271" s="47">
        <v>111167</v>
      </c>
      <c r="X271" s="19" t="str">
        <f>IFERROR(VLOOKUP(W271,'Personel Bilgi'!A:B,2,0),"---")</f>
        <v>TURCAN TANRIVERDILER</v>
      </c>
      <c r="Y271" s="19" t="str">
        <f>IFERROR(VLOOKUP(W271,'Personel Bilgi'!A:C,3,0),"---")</f>
        <v>YAREN OZAYAG</v>
      </c>
      <c r="Z271" s="22" t="s">
        <v>95</v>
      </c>
      <c r="AA271" s="22" t="s">
        <v>617</v>
      </c>
      <c r="AB271" s="22" t="s">
        <v>49</v>
      </c>
      <c r="AC271" s="19" t="s">
        <v>41</v>
      </c>
      <c r="AD271" s="27" t="s">
        <v>42</v>
      </c>
    </row>
    <row r="272" spans="1:30" x14ac:dyDescent="0.25">
      <c r="A272" s="19" t="s">
        <v>11</v>
      </c>
      <c r="B272" s="22" t="s">
        <v>1011</v>
      </c>
      <c r="C272" s="28">
        <v>5518418230</v>
      </c>
      <c r="D272" s="22" t="s">
        <v>14</v>
      </c>
      <c r="E272" s="22" t="str">
        <f>IFERROR(VLOOKUP(D272,Tanımlar!C:D,2,0),"- - -")</f>
        <v>DAĞITIM</v>
      </c>
      <c r="F272" s="28">
        <v>600525</v>
      </c>
      <c r="G272" s="28" t="str">
        <f>IFERROR(VLOOKUP(F272,'Personel Bilgi'!A:B,2,0),"- - - ")</f>
        <v>MELIKE ULUSU</v>
      </c>
      <c r="H272" s="28" t="str">
        <f>IFERROR(VLOOKUP(F272,'Personel Bilgi'!A:D,3,0),"- - -")</f>
        <v>ASYA DAG</v>
      </c>
      <c r="I272" s="28" t="str">
        <f>IFERROR(VLOOKUP(F272,'Personel Bilgi'!A:D,4,0),"- - -")</f>
        <v>ANKARA</v>
      </c>
      <c r="J272" s="28" t="str">
        <f>IFERROR(VLOOKUP(F272,'Personel Bilgi'!A:E,5,0),"- - -")</f>
        <v>MÜŞTERİ TEMSİLCİSİ</v>
      </c>
      <c r="K272" s="22" t="s">
        <v>49</v>
      </c>
      <c r="L272" s="22" t="s">
        <v>96</v>
      </c>
      <c r="M272" s="22" t="s">
        <v>40</v>
      </c>
      <c r="N272" s="36">
        <v>46012</v>
      </c>
      <c r="O272" s="36">
        <v>46013</v>
      </c>
      <c r="P272" s="21" t="s">
        <v>1145</v>
      </c>
      <c r="Q272" s="37" t="s">
        <v>735</v>
      </c>
      <c r="R272" s="19" t="s">
        <v>86</v>
      </c>
      <c r="S272" s="21" t="s">
        <v>92</v>
      </c>
      <c r="T272" s="21" t="s">
        <v>95</v>
      </c>
      <c r="U272" s="21">
        <v>60</v>
      </c>
      <c r="V272" s="21" t="s">
        <v>736</v>
      </c>
      <c r="W272" s="47">
        <v>111241</v>
      </c>
      <c r="X272" s="19" t="str">
        <f>IFERROR(VLOOKUP(W272,'Personel Bilgi'!A:B,2,0),"---")</f>
        <v>GURKAN KILDIS</v>
      </c>
      <c r="Y272" s="19" t="str">
        <f>IFERROR(VLOOKUP(W272,'Personel Bilgi'!A:C,3,0),"---")</f>
        <v>YAPRAK KARAKOC</v>
      </c>
      <c r="Z272" s="22" t="s">
        <v>95</v>
      </c>
      <c r="AA272" s="22" t="s">
        <v>617</v>
      </c>
      <c r="AB272" s="22" t="s">
        <v>49</v>
      </c>
      <c r="AC272" s="22" t="s">
        <v>96</v>
      </c>
      <c r="AD272" s="22" t="s">
        <v>40</v>
      </c>
    </row>
    <row r="273" spans="1:30" x14ac:dyDescent="0.25">
      <c r="A273" s="19" t="s">
        <v>11</v>
      </c>
      <c r="B273" s="22" t="s">
        <v>1012</v>
      </c>
      <c r="C273" s="28">
        <v>5526726564</v>
      </c>
      <c r="D273" s="22" t="s">
        <v>14</v>
      </c>
      <c r="E273" s="22" t="str">
        <f>IFERROR(VLOOKUP(D273,Tanımlar!C:D,2,0),"- - -")</f>
        <v>DAĞITIM</v>
      </c>
      <c r="F273" s="28">
        <v>110424</v>
      </c>
      <c r="G273" s="28" t="str">
        <f>IFERROR(VLOOKUP(F273,'Personel Bilgi'!A:B,2,0),"- - - ")</f>
        <v>ONUR POLAT</v>
      </c>
      <c r="H273" s="28" t="str">
        <f>IFERROR(VLOOKUP(F273,'Personel Bilgi'!A:D,3,0),"- - -")</f>
        <v>MUSTAFA OZAYAG</v>
      </c>
      <c r="I273" s="28" t="str">
        <f>IFERROR(VLOOKUP(F273,'Personel Bilgi'!A:D,4,0),"- - -")</f>
        <v>KARS</v>
      </c>
      <c r="J273" s="28" t="str">
        <f>IFERROR(VLOOKUP(F273,'Personel Bilgi'!A:E,5,0),"- - -")</f>
        <v>MÜŞTERİ TEMSİLCİSİ</v>
      </c>
      <c r="K273" s="22" t="s">
        <v>49</v>
      </c>
      <c r="L273" s="19" t="s">
        <v>41</v>
      </c>
      <c r="M273" s="27" t="s">
        <v>42</v>
      </c>
      <c r="N273" s="36">
        <v>46013</v>
      </c>
      <c r="O273" s="36">
        <v>46013</v>
      </c>
      <c r="P273" s="21" t="s">
        <v>81</v>
      </c>
      <c r="Q273" s="37" t="s">
        <v>735</v>
      </c>
      <c r="R273" s="19" t="s">
        <v>86</v>
      </c>
      <c r="S273" s="21" t="s">
        <v>92</v>
      </c>
      <c r="T273" s="21" t="s">
        <v>95</v>
      </c>
      <c r="U273" s="21">
        <v>80</v>
      </c>
      <c r="V273" s="21" t="s">
        <v>736</v>
      </c>
      <c r="W273" s="47">
        <v>110716</v>
      </c>
      <c r="X273" s="19" t="str">
        <f>IFERROR(VLOOKUP(W273,'Personel Bilgi'!A:B,2,0),"---")</f>
        <v>SERDAR SENGUN</v>
      </c>
      <c r="Y273" s="19" t="str">
        <f>IFERROR(VLOOKUP(W273,'Personel Bilgi'!A:C,3,0),"---")</f>
        <v>MUSTAFA OZAYAG</v>
      </c>
      <c r="Z273" s="22" t="s">
        <v>95</v>
      </c>
      <c r="AA273" s="22" t="s">
        <v>617</v>
      </c>
      <c r="AB273" s="22" t="s">
        <v>49</v>
      </c>
      <c r="AC273" s="19" t="s">
        <v>41</v>
      </c>
      <c r="AD273" s="27" t="s">
        <v>42</v>
      </c>
    </row>
    <row r="274" spans="1:30" x14ac:dyDescent="0.25">
      <c r="A274" s="19" t="s">
        <v>11</v>
      </c>
      <c r="B274" s="22" t="s">
        <v>1013</v>
      </c>
      <c r="C274" s="28">
        <v>5350749490</v>
      </c>
      <c r="D274" s="22" t="s">
        <v>14</v>
      </c>
      <c r="E274" s="22" t="str">
        <f>IFERROR(VLOOKUP(D274,Tanımlar!C:D,2,0),"- - -")</f>
        <v>DAĞITIM</v>
      </c>
      <c r="F274" s="28">
        <v>500162</v>
      </c>
      <c r="G274" s="28" t="str">
        <f>IFERROR(VLOOKUP(F274,'Personel Bilgi'!A:B,2,0),"- - - ")</f>
        <v>MUHAMMED CAN POLAT</v>
      </c>
      <c r="H274" s="28" t="str">
        <f>IFERROR(VLOOKUP(F274,'Personel Bilgi'!A:D,3,0),"- - -")</f>
        <v>KURSAD TERCANLI</v>
      </c>
      <c r="I274" s="28" t="str">
        <f>IFERROR(VLOOKUP(F274,'Personel Bilgi'!A:D,4,0),"- - -")</f>
        <v>ERZURUM</v>
      </c>
      <c r="J274" s="28" t="str">
        <f>IFERROR(VLOOKUP(F274,'Personel Bilgi'!A:E,5,0),"- - -")</f>
        <v>MÜŞTERİ TEMSİLCİSİ</v>
      </c>
      <c r="K274" s="22" t="s">
        <v>49</v>
      </c>
      <c r="L274" s="22" t="s">
        <v>47</v>
      </c>
      <c r="M274" s="21" t="s">
        <v>603</v>
      </c>
      <c r="N274" s="36">
        <v>46012</v>
      </c>
      <c r="O274" s="36">
        <v>46013</v>
      </c>
      <c r="P274" s="21" t="s">
        <v>80</v>
      </c>
      <c r="Q274" s="37" t="s">
        <v>735</v>
      </c>
      <c r="R274" s="19" t="s">
        <v>86</v>
      </c>
      <c r="S274" s="21" t="s">
        <v>92</v>
      </c>
      <c r="T274" s="21" t="s">
        <v>94</v>
      </c>
      <c r="U274" s="21">
        <v>0</v>
      </c>
      <c r="V274" s="21" t="s">
        <v>736</v>
      </c>
      <c r="W274" s="47">
        <v>500162</v>
      </c>
      <c r="X274" s="19" t="str">
        <f>IFERROR(VLOOKUP(W274,'Personel Bilgi'!A:B,2,0),"---")</f>
        <v>MUHAMMED CAN POLAT</v>
      </c>
      <c r="Y274" s="19" t="str">
        <f>IFERROR(VLOOKUP(W274,'Personel Bilgi'!A:C,3,0),"---")</f>
        <v>KURSAD TERCANLI</v>
      </c>
      <c r="Z274" s="22" t="s">
        <v>94</v>
      </c>
      <c r="AA274" s="22" t="s">
        <v>616</v>
      </c>
      <c r="AB274" s="22" t="s">
        <v>49</v>
      </c>
      <c r="AC274" s="22" t="s">
        <v>47</v>
      </c>
      <c r="AD274" s="21" t="s">
        <v>603</v>
      </c>
    </row>
    <row r="275" spans="1:30" x14ac:dyDescent="0.25">
      <c r="A275" s="19" t="s">
        <v>11</v>
      </c>
      <c r="B275" s="22" t="s">
        <v>1014</v>
      </c>
      <c r="C275" s="28">
        <v>5323370101</v>
      </c>
      <c r="D275" s="22" t="s">
        <v>15</v>
      </c>
      <c r="E275" s="19" t="str">
        <f>IFERROR(VLOOKUP(D275,Tanımlar!C:D,2,0),"- - -")</f>
        <v>PERAKENDE</v>
      </c>
      <c r="F275" s="28">
        <v>600878</v>
      </c>
      <c r="G275" s="28" t="str">
        <f>IFERROR(VLOOKUP(F275,'Personel Bilgi'!A:B,2,0),"- - - ")</f>
        <v>ESRA USTAOGLU</v>
      </c>
      <c r="H275" s="28" t="str">
        <f>IFERROR(VLOOKUP(F275,'Personel Bilgi'!A:D,3,0),"- - -")</f>
        <v>AHMET RIDVAN ERDOGMUS</v>
      </c>
      <c r="I275" s="28" t="str">
        <f>IFERROR(VLOOKUP(F275,'Personel Bilgi'!A:D,4,0),"- - -")</f>
        <v>ANKARA</v>
      </c>
      <c r="J275" s="28" t="str">
        <f>IFERROR(VLOOKUP(F275,'Personel Bilgi'!A:E,5,0),"- - -")</f>
        <v>MÜŞTERİ TEMSİLCİSİ</v>
      </c>
      <c r="K275" s="22" t="s">
        <v>73</v>
      </c>
      <c r="L275" s="19" t="s">
        <v>96</v>
      </c>
      <c r="M275" s="27" t="s">
        <v>30</v>
      </c>
      <c r="N275" s="36">
        <v>46011</v>
      </c>
      <c r="O275" s="36">
        <v>46013</v>
      </c>
      <c r="P275" s="21" t="s">
        <v>81</v>
      </c>
      <c r="Q275" s="37" t="s">
        <v>735</v>
      </c>
      <c r="R275" s="19" t="s">
        <v>86</v>
      </c>
      <c r="S275" s="21" t="s">
        <v>93</v>
      </c>
      <c r="T275" s="21" t="s">
        <v>95</v>
      </c>
      <c r="U275" s="21" t="s">
        <v>735</v>
      </c>
      <c r="V275" s="21" t="s">
        <v>736</v>
      </c>
      <c r="W275" s="47">
        <v>111264</v>
      </c>
      <c r="X275" s="19" t="str">
        <f>IFERROR(VLOOKUP(W275,'Personel Bilgi'!A:B,2,0),"---")</f>
        <v>RESUL BULUT</v>
      </c>
      <c r="Y275" s="19" t="str">
        <f>IFERROR(VLOOKUP(W275,'Personel Bilgi'!A:C,3,0),"---")</f>
        <v>KURTHAN FERDI CIHANTIMUR</v>
      </c>
      <c r="Z275" s="22" t="s">
        <v>94</v>
      </c>
      <c r="AA275" s="22" t="s">
        <v>616</v>
      </c>
      <c r="AB275" s="22" t="s">
        <v>73</v>
      </c>
      <c r="AC275" s="19" t="s">
        <v>96</v>
      </c>
      <c r="AD275" s="27" t="s">
        <v>30</v>
      </c>
    </row>
    <row r="276" spans="1:30" x14ac:dyDescent="0.25">
      <c r="A276" s="19" t="s">
        <v>11</v>
      </c>
      <c r="B276" s="22" t="s">
        <v>1016</v>
      </c>
      <c r="C276" s="28">
        <v>5389611938</v>
      </c>
      <c r="D276" s="22" t="s">
        <v>15</v>
      </c>
      <c r="E276" s="19" t="str">
        <f>IFERROR(VLOOKUP(D276,Tanımlar!C:D,2,0),"- - -")</f>
        <v>PERAKENDE</v>
      </c>
      <c r="F276" s="28">
        <v>210022</v>
      </c>
      <c r="G276" s="28" t="str">
        <f>IFERROR(VLOOKUP(F276,'Personel Bilgi'!A:B,2,0),"- - - ")</f>
        <v>IRFAN YILDIZ</v>
      </c>
      <c r="H276" s="28" t="str">
        <f>IFERROR(VLOOKUP(F276,'Personel Bilgi'!A:D,3,0),"- - -")</f>
        <v>SEVCAN BULUT</v>
      </c>
      <c r="I276" s="28" t="str">
        <f>IFERROR(VLOOKUP(F276,'Personel Bilgi'!A:D,4,0),"- - -")</f>
        <v>KARS</v>
      </c>
      <c r="J276" s="28" t="str">
        <f>IFERROR(VLOOKUP(F276,'Personel Bilgi'!A:E,5,0),"- - -")</f>
        <v>MÜŞTERİ TEMSİLCİSİ</v>
      </c>
      <c r="K276" s="22" t="s">
        <v>66</v>
      </c>
      <c r="L276" s="19" t="s">
        <v>41</v>
      </c>
      <c r="M276" s="27" t="s">
        <v>42</v>
      </c>
      <c r="N276" s="36">
        <v>46011</v>
      </c>
      <c r="O276" s="36">
        <v>46013</v>
      </c>
      <c r="P276" s="21" t="s">
        <v>81</v>
      </c>
      <c r="Q276" s="37" t="s">
        <v>735</v>
      </c>
      <c r="R276" s="19" t="s">
        <v>86</v>
      </c>
      <c r="S276" s="21" t="s">
        <v>92</v>
      </c>
      <c r="T276" s="21" t="s">
        <v>94</v>
      </c>
      <c r="U276" s="21">
        <v>0</v>
      </c>
      <c r="V276" s="21" t="s">
        <v>736</v>
      </c>
      <c r="W276" s="47">
        <v>600632</v>
      </c>
      <c r="X276" s="19" t="str">
        <f>IFERROR(VLOOKUP(W276,'Personel Bilgi'!A:B,2,0),"---")</f>
        <v>YADIGAR ER</v>
      </c>
      <c r="Y276" s="19" t="str">
        <f>IFERROR(VLOOKUP(W276,'Personel Bilgi'!A:C,3,0),"---")</f>
        <v xml:space="preserve">İNAN UMUT ÖRNEK </v>
      </c>
      <c r="Z276" s="22" t="s">
        <v>95</v>
      </c>
      <c r="AA276" s="22" t="s">
        <v>617</v>
      </c>
      <c r="AB276" s="22" t="s">
        <v>66</v>
      </c>
      <c r="AC276" s="19" t="s">
        <v>41</v>
      </c>
      <c r="AD276" s="27" t="s">
        <v>42</v>
      </c>
    </row>
    <row r="277" spans="1:30" x14ac:dyDescent="0.25">
      <c r="A277" s="19" t="s">
        <v>11</v>
      </c>
      <c r="B277" s="22" t="s">
        <v>1017</v>
      </c>
      <c r="C277" s="28">
        <v>5455647654</v>
      </c>
      <c r="D277" s="22" t="s">
        <v>15</v>
      </c>
      <c r="E277" s="19" t="str">
        <f>IFERROR(VLOOKUP(D277,Tanımlar!C:D,2,0),"- - -")</f>
        <v>PERAKENDE</v>
      </c>
      <c r="F277" s="28">
        <v>111268</v>
      </c>
      <c r="G277" s="28" t="str">
        <f>IFERROR(VLOOKUP(F277,'Personel Bilgi'!A:B,2,0),"- - - ")</f>
        <v>HASAN FERHAT ARAZ</v>
      </c>
      <c r="H277" s="28" t="str">
        <f>IFERROR(VLOOKUP(F277,'Personel Bilgi'!A:D,3,0),"- - -")</f>
        <v>MUSTAFA OZAYAG</v>
      </c>
      <c r="I277" s="28" t="str">
        <f>IFERROR(VLOOKUP(F277,'Personel Bilgi'!A:D,4,0),"- - -")</f>
        <v>KARS</v>
      </c>
      <c r="J277" s="28" t="str">
        <f>IFERROR(VLOOKUP(F277,'Personel Bilgi'!A:E,5,0),"- - -")</f>
        <v>MÜŞTERİ TEMSİLCİSİ</v>
      </c>
      <c r="K277" s="22" t="s">
        <v>66</v>
      </c>
      <c r="L277" s="21" t="s">
        <v>97</v>
      </c>
      <c r="M277" s="27" t="s">
        <v>734</v>
      </c>
      <c r="N277" s="36">
        <v>46012</v>
      </c>
      <c r="O277" s="36">
        <v>46013</v>
      </c>
      <c r="P277" s="21" t="s">
        <v>81</v>
      </c>
      <c r="Q277" s="37" t="s">
        <v>735</v>
      </c>
      <c r="R277" s="19" t="s">
        <v>86</v>
      </c>
      <c r="S277" s="21" t="s">
        <v>92</v>
      </c>
      <c r="T277" s="21" t="s">
        <v>95</v>
      </c>
      <c r="U277" s="21">
        <v>90</v>
      </c>
      <c r="V277" s="21" t="s">
        <v>736</v>
      </c>
      <c r="W277" s="47">
        <v>210420</v>
      </c>
      <c r="X277" s="19" t="str">
        <f>IFERROR(VLOOKUP(W277,'Personel Bilgi'!A:B,2,0),"---")</f>
        <v>ROJIN ORAL</v>
      </c>
      <c r="Y277" s="19" t="str">
        <f>IFERROR(VLOOKUP(W277,'Personel Bilgi'!A:C,3,0),"---")</f>
        <v>MUHAMMET AKSU</v>
      </c>
      <c r="Z277" s="22" t="s">
        <v>95</v>
      </c>
      <c r="AA277" s="22" t="s">
        <v>617</v>
      </c>
      <c r="AB277" s="22" t="s">
        <v>66</v>
      </c>
      <c r="AC277" s="21" t="s">
        <v>97</v>
      </c>
      <c r="AD277" s="27" t="s">
        <v>734</v>
      </c>
    </row>
    <row r="278" spans="1:30" x14ac:dyDescent="0.25">
      <c r="A278" s="19" t="s">
        <v>11</v>
      </c>
      <c r="B278" s="22" t="s">
        <v>1018</v>
      </c>
      <c r="C278" s="28">
        <v>5373515188</v>
      </c>
      <c r="D278" s="22" t="s">
        <v>14</v>
      </c>
      <c r="E278" s="22" t="str">
        <f>IFERROR(VLOOKUP(D278,Tanımlar!C:D,2,0),"- - -")</f>
        <v>DAĞITIM</v>
      </c>
      <c r="F278" s="28">
        <v>500153</v>
      </c>
      <c r="G278" s="28" t="str">
        <f>IFERROR(VLOOKUP(F278,'Personel Bilgi'!A:B,2,0),"- - - ")</f>
        <v>ESRA YILMAZ</v>
      </c>
      <c r="H278" s="28" t="str">
        <f>IFERROR(VLOOKUP(F278,'Personel Bilgi'!A:D,3,0),"- - -")</f>
        <v>KURSAD TERCANLI</v>
      </c>
      <c r="I278" s="28" t="str">
        <f>IFERROR(VLOOKUP(F278,'Personel Bilgi'!A:D,4,0),"- - -")</f>
        <v>ERZURUM</v>
      </c>
      <c r="J278" s="28" t="str">
        <f>IFERROR(VLOOKUP(F278,'Personel Bilgi'!A:E,5,0),"- - -")</f>
        <v>MÜŞTERİ TEMSİLCİSİ</v>
      </c>
      <c r="K278" s="22" t="s">
        <v>49</v>
      </c>
      <c r="L278" s="21" t="s">
        <v>41</v>
      </c>
      <c r="M278" s="21" t="s">
        <v>44</v>
      </c>
      <c r="N278" s="36">
        <v>46013</v>
      </c>
      <c r="O278" s="36">
        <v>46013</v>
      </c>
      <c r="P278" s="19" t="s">
        <v>79</v>
      </c>
      <c r="Q278" s="37" t="s">
        <v>735</v>
      </c>
      <c r="R278" s="19" t="s">
        <v>86</v>
      </c>
      <c r="S278" s="21" t="s">
        <v>92</v>
      </c>
      <c r="T278" s="21" t="s">
        <v>94</v>
      </c>
      <c r="U278" s="21">
        <v>0</v>
      </c>
      <c r="V278" s="21" t="s">
        <v>736</v>
      </c>
      <c r="W278" s="47">
        <v>500086</v>
      </c>
      <c r="X278" s="19" t="str">
        <f>IFERROR(VLOOKUP(W278,'Personel Bilgi'!A:B,2,0),"---")</f>
        <v>MUHAMMED YASAR DUMLU</v>
      </c>
      <c r="Y278" s="19" t="str">
        <f>IFERROR(VLOOKUP(W278,'Personel Bilgi'!A:C,3,0),"---")</f>
        <v>SALTUK BUGRAHAN TAYMUS</v>
      </c>
      <c r="Z278" s="22" t="s">
        <v>95</v>
      </c>
      <c r="AA278" s="22" t="s">
        <v>617</v>
      </c>
      <c r="AB278" s="22" t="s">
        <v>49</v>
      </c>
      <c r="AC278" s="21" t="s">
        <v>41</v>
      </c>
      <c r="AD278" s="21" t="s">
        <v>44</v>
      </c>
    </row>
    <row r="279" spans="1:30" x14ac:dyDescent="0.25">
      <c r="A279" s="19" t="s">
        <v>11</v>
      </c>
      <c r="B279" s="22" t="s">
        <v>1020</v>
      </c>
      <c r="C279" s="28">
        <v>5384777278</v>
      </c>
      <c r="D279" s="22" t="s">
        <v>12</v>
      </c>
      <c r="E279" s="19" t="str">
        <f>IFERROR(VLOOKUP(D279,Tanımlar!C:D,2,0),"- - -")</f>
        <v>DAĞITIM</v>
      </c>
      <c r="F279" s="28">
        <v>500064</v>
      </c>
      <c r="G279" s="28" t="str">
        <f>IFERROR(VLOOKUP(F279,'Personel Bilgi'!A:B,2,0),"- - - ")</f>
        <v>MUHAMMED EMIN DEMIR</v>
      </c>
      <c r="H279" s="28" t="str">
        <f>IFERROR(VLOOKUP(F279,'Personel Bilgi'!A:D,3,0),"- - -")</f>
        <v>SALTUK BUGRAHAN TAYMUS</v>
      </c>
      <c r="I279" s="28" t="str">
        <f>IFERROR(VLOOKUP(F279,'Personel Bilgi'!A:D,4,0),"- - -")</f>
        <v>ERZURUM</v>
      </c>
      <c r="J279" s="28" t="str">
        <f>IFERROR(VLOOKUP(F279,'Personel Bilgi'!A:E,5,0),"- - -")</f>
        <v>MÜŞTERİ TEMSİLCİSİ</v>
      </c>
      <c r="K279" s="22" t="s">
        <v>54</v>
      </c>
      <c r="L279" s="21" t="s">
        <v>97</v>
      </c>
      <c r="M279" s="21" t="s">
        <v>734</v>
      </c>
      <c r="N279" s="36">
        <v>46010</v>
      </c>
      <c r="O279" s="36">
        <v>46013</v>
      </c>
      <c r="P279" s="21" t="s">
        <v>1145</v>
      </c>
      <c r="Q279" s="37" t="s">
        <v>735</v>
      </c>
      <c r="R279" s="21" t="s">
        <v>790</v>
      </c>
      <c r="S279" s="21" t="s">
        <v>92</v>
      </c>
      <c r="T279" s="21" t="s">
        <v>94</v>
      </c>
      <c r="U279" s="21">
        <v>0</v>
      </c>
      <c r="V279" s="21" t="s">
        <v>736</v>
      </c>
      <c r="W279" s="28">
        <v>111197</v>
      </c>
      <c r="X279" s="19" t="str">
        <f>IFERROR(VLOOKUP(W279,'Personel Bilgi'!A:B,2,0),"---")</f>
        <v>SONGUL YAGCI</v>
      </c>
      <c r="Y279" s="19" t="str">
        <f>IFERROR(VLOOKUP(W279,'Personel Bilgi'!A:C,3,0),"---")</f>
        <v>SEDA SEBU</v>
      </c>
      <c r="Z279" s="22" t="s">
        <v>95</v>
      </c>
      <c r="AA279" s="22" t="s">
        <v>617</v>
      </c>
      <c r="AB279" s="22" t="s">
        <v>54</v>
      </c>
      <c r="AC279" s="21" t="s">
        <v>97</v>
      </c>
      <c r="AD279" s="21" t="s">
        <v>734</v>
      </c>
    </row>
    <row r="280" spans="1:30" x14ac:dyDescent="0.25">
      <c r="A280" s="19" t="s">
        <v>11</v>
      </c>
      <c r="B280" s="22" t="s">
        <v>1021</v>
      </c>
      <c r="C280" s="28">
        <v>5321571715</v>
      </c>
      <c r="D280" s="22" t="s">
        <v>12</v>
      </c>
      <c r="E280" s="19" t="str">
        <f>IFERROR(VLOOKUP(D280,Tanımlar!C:D,2,0),"- - -")</f>
        <v>DAĞITIM</v>
      </c>
      <c r="F280" s="28">
        <v>500073</v>
      </c>
      <c r="G280" s="22" t="s">
        <v>936</v>
      </c>
      <c r="H280" s="28" t="str">
        <f>IFERROR(VLOOKUP(F280,'Personel Bilgi'!A:D,3,0),"- - -")</f>
        <v>MUHAMMED TARIK KUÇUK</v>
      </c>
      <c r="I280" s="28" t="str">
        <f>IFERROR(VLOOKUP(F280,'Personel Bilgi'!A:D,4,0),"- - -")</f>
        <v>ERZURUM</v>
      </c>
      <c r="J280" s="28" t="str">
        <f>IFERROR(VLOOKUP(F280,'Personel Bilgi'!A:E,5,0),"- - -")</f>
        <v>TAKIM LİDERİ</v>
      </c>
      <c r="K280" s="22" t="s">
        <v>49</v>
      </c>
      <c r="L280" s="21" t="s">
        <v>41</v>
      </c>
      <c r="M280" s="21" t="s">
        <v>42</v>
      </c>
      <c r="N280" s="36">
        <v>46010</v>
      </c>
      <c r="O280" s="36">
        <v>46013</v>
      </c>
      <c r="P280" s="21" t="s">
        <v>81</v>
      </c>
      <c r="Q280" s="37" t="s">
        <v>735</v>
      </c>
      <c r="R280" s="21" t="s">
        <v>790</v>
      </c>
      <c r="S280" s="21" t="s">
        <v>93</v>
      </c>
      <c r="T280" s="21" t="s">
        <v>95</v>
      </c>
      <c r="U280" s="21" t="s">
        <v>735</v>
      </c>
      <c r="V280" s="21" t="s">
        <v>736</v>
      </c>
      <c r="W280" s="28">
        <v>500073</v>
      </c>
      <c r="X280" s="19" t="str">
        <f>IFERROR(VLOOKUP(W280,'Personel Bilgi'!A:B,2,0),"---")</f>
        <v>MUHAMMED TARIK KUÇUK</v>
      </c>
      <c r="Y280" s="19" t="str">
        <f>IFERROR(VLOOKUP(W280,'Personel Bilgi'!A:C,3,0),"---")</f>
        <v>MUHAMMED TARIK KUÇUK</v>
      </c>
      <c r="Z280" s="22" t="s">
        <v>95</v>
      </c>
      <c r="AA280" s="22" t="s">
        <v>617</v>
      </c>
      <c r="AB280" s="22" t="s">
        <v>49</v>
      </c>
      <c r="AC280" s="21" t="s">
        <v>41</v>
      </c>
      <c r="AD280" s="21" t="s">
        <v>42</v>
      </c>
    </row>
    <row r="281" spans="1:30" x14ac:dyDescent="0.25">
      <c r="A281" s="19" t="s">
        <v>11</v>
      </c>
      <c r="B281" s="22" t="s">
        <v>1022</v>
      </c>
      <c r="C281" s="28">
        <v>5321571715</v>
      </c>
      <c r="D281" s="22" t="s">
        <v>12</v>
      </c>
      <c r="E281" s="19" t="str">
        <f>IFERROR(VLOOKUP(D281,Tanımlar!C:D,2,0),"- - -")</f>
        <v>DAĞITIM</v>
      </c>
      <c r="F281" s="28">
        <v>600410</v>
      </c>
      <c r="G281" s="28" t="str">
        <f>IFERROR(VLOOKUP(F281,'Personel Bilgi'!A:B,2,0),"- - - ")</f>
        <v>SERIFE DOGAN</v>
      </c>
      <c r="H281" s="28" t="str">
        <f>IFERROR(VLOOKUP(F281,'Personel Bilgi'!A:D,3,0),"- - -")</f>
        <v>BUSRA ONDER</v>
      </c>
      <c r="I281" s="28" t="str">
        <f>IFERROR(VLOOKUP(F281,'Personel Bilgi'!A:D,4,0),"- - -")</f>
        <v>ANKARA</v>
      </c>
      <c r="J281" s="28" t="str">
        <f>IFERROR(VLOOKUP(F281,'Personel Bilgi'!A:E,5,0),"- - -")</f>
        <v>MÜŞTERİ TEMSİLCİSİ</v>
      </c>
      <c r="K281" s="22" t="s">
        <v>49</v>
      </c>
      <c r="L281" s="21" t="s">
        <v>97</v>
      </c>
      <c r="M281" s="21" t="s">
        <v>734</v>
      </c>
      <c r="N281" s="36">
        <v>46003</v>
      </c>
      <c r="O281" s="36">
        <v>46013</v>
      </c>
      <c r="P281" s="21" t="s">
        <v>81</v>
      </c>
      <c r="Q281" s="37" t="s">
        <v>735</v>
      </c>
      <c r="R281" s="21" t="s">
        <v>790</v>
      </c>
      <c r="S281" s="21" t="s">
        <v>92</v>
      </c>
      <c r="T281" s="21" t="s">
        <v>95</v>
      </c>
      <c r="U281" s="21"/>
      <c r="V281" s="21" t="s">
        <v>736</v>
      </c>
      <c r="W281" s="28">
        <v>500073</v>
      </c>
      <c r="X281" s="19" t="str">
        <f>IFERROR(VLOOKUP(W281,'Personel Bilgi'!A:B,2,0),"---")</f>
        <v>MUHAMMED TARIK KUÇUK</v>
      </c>
      <c r="Y281" s="19" t="str">
        <f>IFERROR(VLOOKUP(W281,'Personel Bilgi'!A:C,3,0),"---")</f>
        <v>MUHAMMED TARIK KUÇUK</v>
      </c>
      <c r="Z281" s="22" t="s">
        <v>95</v>
      </c>
      <c r="AA281" s="22" t="s">
        <v>617</v>
      </c>
      <c r="AB281" s="22" t="s">
        <v>49</v>
      </c>
      <c r="AC281" s="21" t="s">
        <v>97</v>
      </c>
      <c r="AD281" s="21" t="s">
        <v>734</v>
      </c>
    </row>
    <row r="282" spans="1:30" x14ac:dyDescent="0.25">
      <c r="A282" s="19" t="s">
        <v>11</v>
      </c>
      <c r="B282" s="22" t="s">
        <v>1023</v>
      </c>
      <c r="C282" s="28">
        <v>5318390880</v>
      </c>
      <c r="D282" s="22" t="s">
        <v>12</v>
      </c>
      <c r="E282" s="19" t="str">
        <f>IFERROR(VLOOKUP(D282,Tanımlar!C:D,2,0),"- - -")</f>
        <v>DAĞITIM</v>
      </c>
      <c r="F282" s="28">
        <v>500035</v>
      </c>
      <c r="G282" s="28" t="str">
        <f>IFERROR(VLOOKUP(F282,'Personel Bilgi'!A:B,2,0),"- - - ")</f>
        <v>SERIFE ALPER</v>
      </c>
      <c r="H282" s="28" t="str">
        <f>IFERROR(VLOOKUP(F282,'Personel Bilgi'!A:D,3,0),"- - -")</f>
        <v>ERDOGAN DURUK</v>
      </c>
      <c r="I282" s="28" t="str">
        <f>IFERROR(VLOOKUP(F282,'Personel Bilgi'!A:D,4,0),"- - -")</f>
        <v>ERZURUM</v>
      </c>
      <c r="J282" s="28" t="str">
        <f>IFERROR(VLOOKUP(F282,'Personel Bilgi'!A:E,5,0),"- - -")</f>
        <v>MÜŞTERİ TEMSİLCİSİ</v>
      </c>
      <c r="K282" s="22" t="s">
        <v>49</v>
      </c>
      <c r="L282" s="21" t="s">
        <v>97</v>
      </c>
      <c r="M282" s="21" t="s">
        <v>734</v>
      </c>
      <c r="N282" s="36">
        <v>46012</v>
      </c>
      <c r="O282" s="36">
        <v>46013</v>
      </c>
      <c r="P282" s="19" t="s">
        <v>79</v>
      </c>
      <c r="Q282" s="37" t="s">
        <v>735</v>
      </c>
      <c r="R282" s="21" t="s">
        <v>790</v>
      </c>
      <c r="S282" s="21" t="s">
        <v>92</v>
      </c>
      <c r="T282" s="21" t="s">
        <v>94</v>
      </c>
      <c r="U282" s="21">
        <v>0</v>
      </c>
      <c r="V282" s="21" t="s">
        <v>736</v>
      </c>
      <c r="W282" s="28">
        <v>600747</v>
      </c>
      <c r="X282" s="19" t="str">
        <f>IFERROR(VLOOKUP(W282,'Personel Bilgi'!A:B,2,0),"---")</f>
        <v>MELIKE IPEK</v>
      </c>
      <c r="Y282" s="19" t="str">
        <f>IFERROR(VLOOKUP(W282,'Personel Bilgi'!A:C,3,0),"---")</f>
        <v>ASYA DAG</v>
      </c>
      <c r="Z282" s="22" t="s">
        <v>95</v>
      </c>
      <c r="AA282" s="22" t="s">
        <v>617</v>
      </c>
      <c r="AB282" s="22" t="s">
        <v>49</v>
      </c>
      <c r="AC282" s="21" t="s">
        <v>97</v>
      </c>
      <c r="AD282" s="21" t="s">
        <v>734</v>
      </c>
    </row>
    <row r="283" spans="1:30" x14ac:dyDescent="0.25">
      <c r="A283" s="19" t="s">
        <v>11</v>
      </c>
      <c r="B283" s="22" t="s">
        <v>1024</v>
      </c>
      <c r="C283" s="28">
        <v>5321009408</v>
      </c>
      <c r="D283" s="22" t="s">
        <v>12</v>
      </c>
      <c r="E283" s="19" t="str">
        <f>IFERROR(VLOOKUP(D283,Tanımlar!C:D,2,0),"- - -")</f>
        <v>DAĞITIM</v>
      </c>
      <c r="F283" s="28">
        <v>110795</v>
      </c>
      <c r="G283" s="28" t="str">
        <f>IFERROR(VLOOKUP(F283,'Personel Bilgi'!A:B,2,0),"- - - ")</f>
        <v>OZLEM AGYOL</v>
      </c>
      <c r="H283" s="28" t="str">
        <f>IFERROR(VLOOKUP(F283,'Personel Bilgi'!A:D,3,0),"- - -")</f>
        <v>SAFAK TOPTAS</v>
      </c>
      <c r="I283" s="28" t="str">
        <f>IFERROR(VLOOKUP(F283,'Personel Bilgi'!A:D,4,0),"- - -")</f>
        <v>KARS</v>
      </c>
      <c r="J283" s="28" t="str">
        <f>IFERROR(VLOOKUP(F283,'Personel Bilgi'!A:E,5,0),"- - -")</f>
        <v>MÜŞTERİ TEMSİLCİSİ</v>
      </c>
      <c r="K283" s="22" t="s">
        <v>70</v>
      </c>
      <c r="L283" s="22" t="s">
        <v>47</v>
      </c>
      <c r="M283" s="21" t="s">
        <v>603</v>
      </c>
      <c r="N283" s="36">
        <v>46013</v>
      </c>
      <c r="O283" s="36">
        <v>46013</v>
      </c>
      <c r="P283" s="21" t="s">
        <v>80</v>
      </c>
      <c r="Q283" s="37" t="s">
        <v>735</v>
      </c>
      <c r="R283" s="21" t="s">
        <v>790</v>
      </c>
      <c r="S283" s="21" t="s">
        <v>92</v>
      </c>
      <c r="T283" s="21" t="s">
        <v>95</v>
      </c>
      <c r="U283" s="21">
        <v>100</v>
      </c>
      <c r="V283" s="21" t="s">
        <v>736</v>
      </c>
      <c r="W283" s="28">
        <v>110795</v>
      </c>
      <c r="X283" s="19" t="str">
        <f>IFERROR(VLOOKUP(W283,'Personel Bilgi'!A:B,2,0),"---")</f>
        <v>OZLEM AGYOL</v>
      </c>
      <c r="Y283" s="19" t="str">
        <f>IFERROR(VLOOKUP(W283,'Personel Bilgi'!A:C,3,0),"---")</f>
        <v>SAFAK TOPTAS</v>
      </c>
      <c r="Z283" s="22" t="s">
        <v>95</v>
      </c>
      <c r="AA283" s="22" t="s">
        <v>617</v>
      </c>
      <c r="AB283" s="22" t="s">
        <v>70</v>
      </c>
      <c r="AC283" s="22" t="s">
        <v>47</v>
      </c>
      <c r="AD283" s="21" t="s">
        <v>603</v>
      </c>
    </row>
    <row r="284" spans="1:30" x14ac:dyDescent="0.25">
      <c r="A284" s="19" t="s">
        <v>11</v>
      </c>
      <c r="B284" s="22" t="s">
        <v>1025</v>
      </c>
      <c r="C284" s="28">
        <v>5511204376</v>
      </c>
      <c r="D284" s="22" t="s">
        <v>14</v>
      </c>
      <c r="E284" s="19" t="str">
        <f>IFERROR(VLOOKUP(D284,Tanımlar!C:D,2,0),"- - -")</f>
        <v>DAĞITIM</v>
      </c>
      <c r="F284" s="28">
        <v>500050</v>
      </c>
      <c r="G284" s="28" t="str">
        <f>IFERROR(VLOOKUP(F284,'Personel Bilgi'!A:B,2,0),"- - - ")</f>
        <v>GOZDENUR YILMAZ</v>
      </c>
      <c r="H284" s="28" t="str">
        <f>IFERROR(VLOOKUP(F284,'Personel Bilgi'!A:D,3,0),"- - -")</f>
        <v>MEHMET ALI SAVAN</v>
      </c>
      <c r="I284" s="28" t="str">
        <f>IFERROR(VLOOKUP(F284,'Personel Bilgi'!A:D,4,0),"- - -")</f>
        <v>ERZURUM</v>
      </c>
      <c r="J284" s="28" t="str">
        <f>IFERROR(VLOOKUP(F284,'Personel Bilgi'!A:E,5,0),"- - -")</f>
        <v>MÜŞTERİ TEMSİLCİSİ</v>
      </c>
      <c r="K284" s="22" t="s">
        <v>49</v>
      </c>
      <c r="L284" s="22" t="s">
        <v>97</v>
      </c>
      <c r="M284" s="22" t="s">
        <v>734</v>
      </c>
      <c r="N284" s="36">
        <v>46013</v>
      </c>
      <c r="O284" s="36">
        <v>46013</v>
      </c>
      <c r="P284" s="21" t="s">
        <v>81</v>
      </c>
      <c r="Q284" s="37" t="s">
        <v>735</v>
      </c>
      <c r="R284" s="21" t="s">
        <v>790</v>
      </c>
      <c r="S284" s="21" t="s">
        <v>92</v>
      </c>
      <c r="T284" s="21" t="s">
        <v>95</v>
      </c>
      <c r="U284" s="21">
        <v>65</v>
      </c>
      <c r="V284" s="21" t="s">
        <v>736</v>
      </c>
      <c r="W284" s="28">
        <v>500072</v>
      </c>
      <c r="X284" s="19" t="str">
        <f>IFERROR(VLOOKUP(W284,'Personel Bilgi'!A:B,2,0),"---")</f>
        <v>RABIA DURAN</v>
      </c>
      <c r="Y284" s="19" t="str">
        <f>IFERROR(VLOOKUP(W284,'Personel Bilgi'!A:C,3,0),"---")</f>
        <v>SALTUK BUGRAHAN TAYMUS</v>
      </c>
      <c r="Z284" s="22" t="s">
        <v>95</v>
      </c>
      <c r="AA284" s="22" t="s">
        <v>617</v>
      </c>
      <c r="AB284" s="22" t="s">
        <v>49</v>
      </c>
      <c r="AC284" s="21" t="s">
        <v>97</v>
      </c>
      <c r="AD284" s="21" t="s">
        <v>734</v>
      </c>
    </row>
    <row r="285" spans="1:30" x14ac:dyDescent="0.25">
      <c r="A285" s="19" t="s">
        <v>11</v>
      </c>
      <c r="B285" s="22" t="s">
        <v>1025</v>
      </c>
      <c r="C285" s="28">
        <v>5511204376</v>
      </c>
      <c r="D285" s="22" t="s">
        <v>14</v>
      </c>
      <c r="E285" s="22" t="str">
        <f>IFERROR(VLOOKUP(D285,Tanımlar!C:D,2,0),"- - -")</f>
        <v>DAĞITIM</v>
      </c>
      <c r="F285" s="28">
        <v>600657</v>
      </c>
      <c r="G285" s="28" t="str">
        <f>IFERROR(VLOOKUP(F285,'Personel Bilgi'!A:B,2,0),"- - - ")</f>
        <v>SEHER ERCAN</v>
      </c>
      <c r="H285" s="28" t="str">
        <f>IFERROR(VLOOKUP(F285,'Personel Bilgi'!A:D,3,0),"- - -")</f>
        <v>FERHAT DEMIR</v>
      </c>
      <c r="I285" s="28" t="str">
        <f>IFERROR(VLOOKUP(F285,'Personel Bilgi'!A:D,4,0),"- - -")</f>
        <v>ANKARA</v>
      </c>
      <c r="J285" s="28" t="str">
        <f>IFERROR(VLOOKUP(F285,'Personel Bilgi'!A:E,5,0),"- - -")</f>
        <v>MÜŞTERİ TEMSİLCİSİ</v>
      </c>
      <c r="K285" s="22" t="s">
        <v>49</v>
      </c>
      <c r="L285" s="22" t="s">
        <v>97</v>
      </c>
      <c r="M285" s="22" t="s">
        <v>734</v>
      </c>
      <c r="N285" s="36">
        <v>46013</v>
      </c>
      <c r="O285" s="36">
        <v>46013</v>
      </c>
      <c r="P285" s="21" t="s">
        <v>81</v>
      </c>
      <c r="Q285" s="37" t="s">
        <v>735</v>
      </c>
      <c r="R285" s="21" t="s">
        <v>790</v>
      </c>
      <c r="S285" s="21" t="s">
        <v>92</v>
      </c>
      <c r="T285" s="21" t="s">
        <v>95</v>
      </c>
      <c r="U285" s="21">
        <v>80</v>
      </c>
      <c r="V285" s="21" t="s">
        <v>736</v>
      </c>
      <c r="W285" s="28">
        <v>500072</v>
      </c>
      <c r="X285" s="19" t="str">
        <f>IFERROR(VLOOKUP(W285,'Personel Bilgi'!A:B,2,0),"---")</f>
        <v>RABIA DURAN</v>
      </c>
      <c r="Y285" s="19" t="str">
        <f>IFERROR(VLOOKUP(W285,'Personel Bilgi'!A:C,3,0),"---")</f>
        <v>SALTUK BUGRAHAN TAYMUS</v>
      </c>
      <c r="Z285" s="22" t="s">
        <v>95</v>
      </c>
      <c r="AA285" s="22" t="s">
        <v>617</v>
      </c>
      <c r="AB285" s="22" t="s">
        <v>49</v>
      </c>
      <c r="AC285" s="21" t="s">
        <v>97</v>
      </c>
      <c r="AD285" s="21" t="s">
        <v>734</v>
      </c>
    </row>
    <row r="286" spans="1:30" x14ac:dyDescent="0.25">
      <c r="A286" s="19" t="s">
        <v>11</v>
      </c>
      <c r="B286" s="22" t="s">
        <v>1025</v>
      </c>
      <c r="C286" s="28">
        <v>5511204376</v>
      </c>
      <c r="D286" s="22" t="s">
        <v>14</v>
      </c>
      <c r="E286" s="22" t="str">
        <f>IFERROR(VLOOKUP(D286,Tanımlar!C:D,2,0),"- - -")</f>
        <v>DAĞITIM</v>
      </c>
      <c r="F286" s="28">
        <v>500120</v>
      </c>
      <c r="G286" s="28" t="str">
        <f>IFERROR(VLOOKUP(F286,'Personel Bilgi'!A:B,2,0),"- - - ")</f>
        <v>ELIF DEMIRBAGA</v>
      </c>
      <c r="H286" s="28" t="str">
        <f>IFERROR(VLOOKUP(F286,'Personel Bilgi'!A:D,3,0),"- - -")</f>
        <v>KURSAD TERCANLI</v>
      </c>
      <c r="I286" s="28" t="str">
        <f>IFERROR(VLOOKUP(F286,'Personel Bilgi'!A:D,4,0),"- - -")</f>
        <v>ERZURUM</v>
      </c>
      <c r="J286" s="28" t="str">
        <f>IFERROR(VLOOKUP(F286,'Personel Bilgi'!A:E,5,0),"- - -")</f>
        <v>MÜŞTERİ TEMSİLCİSİ</v>
      </c>
      <c r="K286" s="22" t="s">
        <v>49</v>
      </c>
      <c r="L286" s="22" t="s">
        <v>97</v>
      </c>
      <c r="M286" s="22" t="s">
        <v>22</v>
      </c>
      <c r="N286" s="36">
        <v>46013</v>
      </c>
      <c r="O286" s="36">
        <v>46013</v>
      </c>
      <c r="P286" s="19" t="s">
        <v>79</v>
      </c>
      <c r="Q286" s="37" t="s">
        <v>735</v>
      </c>
      <c r="R286" s="21" t="s">
        <v>790</v>
      </c>
      <c r="S286" s="21" t="s">
        <v>92</v>
      </c>
      <c r="T286" s="21" t="s">
        <v>94</v>
      </c>
      <c r="U286" s="21">
        <v>0</v>
      </c>
      <c r="V286" s="21" t="s">
        <v>736</v>
      </c>
      <c r="W286" s="28">
        <v>500120</v>
      </c>
      <c r="X286" s="19" t="str">
        <f>IFERROR(VLOOKUP(W286,'Personel Bilgi'!A:B,2,0),"---")</f>
        <v>ELIF DEMIRBAGA</v>
      </c>
      <c r="Y286" s="19" t="str">
        <f>IFERROR(VLOOKUP(W286,'Personel Bilgi'!A:C,3,0),"---")</f>
        <v>KURSAD TERCANLI</v>
      </c>
      <c r="Z286" s="22" t="s">
        <v>94</v>
      </c>
      <c r="AA286" s="22" t="s">
        <v>616</v>
      </c>
      <c r="AB286" s="22" t="s">
        <v>49</v>
      </c>
      <c r="AC286" s="27" t="s">
        <v>97</v>
      </c>
      <c r="AD286" s="27" t="s">
        <v>22</v>
      </c>
    </row>
    <row r="287" spans="1:30" x14ac:dyDescent="0.25">
      <c r="A287" s="19" t="s">
        <v>11</v>
      </c>
      <c r="B287" s="22" t="s">
        <v>1019</v>
      </c>
      <c r="C287" s="28">
        <v>5015941707</v>
      </c>
      <c r="D287" s="22" t="s">
        <v>12</v>
      </c>
      <c r="E287" s="22" t="str">
        <f>IFERROR(VLOOKUP(D287,Tanımlar!C:D,2,0),"- - -")</f>
        <v>DAĞITIM</v>
      </c>
      <c r="F287" s="28">
        <v>500089</v>
      </c>
      <c r="G287" s="28" t="str">
        <f>IFERROR(VLOOKUP(F287,'Personel Bilgi'!A:B,2,0),"- - - ")</f>
        <v>CANAN KUCUKBATMAN</v>
      </c>
      <c r="H287" s="28" t="str">
        <f>IFERROR(VLOOKUP(F287,'Personel Bilgi'!A:D,3,0),"- - -")</f>
        <v>METEHAN EMRE SIRMALI</v>
      </c>
      <c r="I287" s="28" t="str">
        <f>IFERROR(VLOOKUP(F287,'Personel Bilgi'!A:D,4,0),"- - -")</f>
        <v>ERZURUM</v>
      </c>
      <c r="J287" s="28" t="str">
        <f>IFERROR(VLOOKUP(F287,'Personel Bilgi'!A:E,5,0),"- - -")</f>
        <v>MÜŞTERİ TEMSİLCİSİ</v>
      </c>
      <c r="K287" s="22" t="s">
        <v>50</v>
      </c>
      <c r="L287" s="22" t="s">
        <v>41</v>
      </c>
      <c r="M287" s="22" t="s">
        <v>42</v>
      </c>
      <c r="N287" s="36">
        <v>46013</v>
      </c>
      <c r="O287" s="36">
        <v>46014</v>
      </c>
      <c r="P287" s="19" t="s">
        <v>79</v>
      </c>
      <c r="Q287" s="37" t="s">
        <v>735</v>
      </c>
      <c r="R287" s="19" t="s">
        <v>86</v>
      </c>
      <c r="S287" s="21" t="s">
        <v>92</v>
      </c>
      <c r="T287" s="21" t="s">
        <v>94</v>
      </c>
      <c r="U287" s="21">
        <v>0</v>
      </c>
      <c r="V287" s="21" t="s">
        <v>736</v>
      </c>
      <c r="W287" s="28">
        <v>500141</v>
      </c>
      <c r="X287" s="19" t="str">
        <f>IFERROR(VLOOKUP(W287,'Personel Bilgi'!A:B,2,0),"---")</f>
        <v>ZIHNI AKPINAR</v>
      </c>
      <c r="Y287" s="19" t="str">
        <f>IFERROR(VLOOKUP(W287,'Personel Bilgi'!A:C,3,0),"---")</f>
        <v>SAMET KOCABEYOGLU</v>
      </c>
      <c r="Z287" s="22" t="s">
        <v>95</v>
      </c>
      <c r="AA287" s="22" t="s">
        <v>617</v>
      </c>
      <c r="AB287" s="22" t="s">
        <v>50</v>
      </c>
      <c r="AC287" s="22" t="s">
        <v>41</v>
      </c>
      <c r="AD287" s="22" t="s">
        <v>42</v>
      </c>
    </row>
    <row r="288" spans="1:30" x14ac:dyDescent="0.25">
      <c r="A288" s="19" t="s">
        <v>11</v>
      </c>
      <c r="B288" s="20" t="s">
        <v>1026</v>
      </c>
      <c r="C288" s="28">
        <v>5062183291</v>
      </c>
      <c r="D288" s="22" t="s">
        <v>14</v>
      </c>
      <c r="E288" s="22" t="str">
        <f>IFERROR(VLOOKUP(D288,Tanımlar!C:D,2,0),"- - -")</f>
        <v>DAĞITIM</v>
      </c>
      <c r="F288" s="28">
        <v>111086</v>
      </c>
      <c r="G288" s="28" t="str">
        <f>IFERROR(VLOOKUP(F288,'Personel Bilgi'!A:B,2,0),"- - - ")</f>
        <v>DIDEM CILKASIT</v>
      </c>
      <c r="H288" s="28" t="str">
        <f>IFERROR(VLOOKUP(F288,'Personel Bilgi'!A:D,3,0),"- - -")</f>
        <v>CEYHAN AYRIC</v>
      </c>
      <c r="I288" s="28" t="str">
        <f>IFERROR(VLOOKUP(F288,'Personel Bilgi'!A:D,4,0),"- - -")</f>
        <v>KARS</v>
      </c>
      <c r="J288" s="28" t="str">
        <f>IFERROR(VLOOKUP(F288,'Personel Bilgi'!A:E,5,0),"- - -")</f>
        <v>MÜŞTERİ TEMSİLCİSİ</v>
      </c>
      <c r="K288" s="22" t="s">
        <v>49</v>
      </c>
      <c r="L288" s="21" t="s">
        <v>97</v>
      </c>
      <c r="M288" s="21" t="s">
        <v>734</v>
      </c>
      <c r="N288" s="36">
        <v>46013</v>
      </c>
      <c r="O288" s="36">
        <v>46014</v>
      </c>
      <c r="P288" s="21" t="s">
        <v>81</v>
      </c>
      <c r="Q288" s="37" t="s">
        <v>735</v>
      </c>
      <c r="R288" s="19" t="s">
        <v>86</v>
      </c>
      <c r="S288" s="21" t="s">
        <v>92</v>
      </c>
      <c r="T288" s="21" t="s">
        <v>95</v>
      </c>
      <c r="U288" s="21">
        <v>100</v>
      </c>
      <c r="V288" s="21" t="s">
        <v>736</v>
      </c>
      <c r="W288" s="28">
        <v>500071</v>
      </c>
      <c r="X288" s="19" t="str">
        <f>IFERROR(VLOOKUP(W288,'Personel Bilgi'!A:B,2,0),"---")</f>
        <v>IREM GOKÇE KATRANLI</v>
      </c>
      <c r="Y288" s="19" t="str">
        <f>IFERROR(VLOOKUP(W288,'Personel Bilgi'!A:C,3,0),"---")</f>
        <v>SALTUK BUGRAHAN TAYMUS</v>
      </c>
      <c r="Z288" s="22" t="s">
        <v>95</v>
      </c>
      <c r="AA288" s="22" t="s">
        <v>617</v>
      </c>
      <c r="AB288" s="22" t="s">
        <v>49</v>
      </c>
      <c r="AC288" s="21" t="s">
        <v>97</v>
      </c>
      <c r="AD288" s="21" t="s">
        <v>734</v>
      </c>
    </row>
    <row r="289" spans="1:31" x14ac:dyDescent="0.25">
      <c r="A289" s="19" t="s">
        <v>11</v>
      </c>
      <c r="B289" s="20" t="s">
        <v>1026</v>
      </c>
      <c r="C289" s="28">
        <v>5062183291</v>
      </c>
      <c r="D289" s="22" t="s">
        <v>14</v>
      </c>
      <c r="E289" s="22" t="str">
        <f>IFERROR(VLOOKUP(D289,Tanımlar!C:D,2,0),"- - -")</f>
        <v>DAĞITIM</v>
      </c>
      <c r="F289" s="28">
        <v>600745</v>
      </c>
      <c r="G289" s="28" t="str">
        <f>IFERROR(VLOOKUP(F289,'Personel Bilgi'!A:B,2,0),"- - - ")</f>
        <v>MEHMET ALI ERACIL</v>
      </c>
      <c r="H289" s="28" t="str">
        <f>IFERROR(VLOOKUP(F289,'Personel Bilgi'!A:D,3,0),"- - -")</f>
        <v>FERHAT DEMIR</v>
      </c>
      <c r="I289" s="28" t="str">
        <f>IFERROR(VLOOKUP(F289,'Personel Bilgi'!A:D,4,0),"- - -")</f>
        <v>ANKARA</v>
      </c>
      <c r="J289" s="28" t="str">
        <f>IFERROR(VLOOKUP(F289,'Personel Bilgi'!A:E,5,0),"- - -")</f>
        <v>UZMAN MÜŞTERİ TEMSİLCİSİ</v>
      </c>
      <c r="K289" s="22" t="s">
        <v>49</v>
      </c>
      <c r="L289" s="21" t="s">
        <v>97</v>
      </c>
      <c r="M289" s="21" t="s">
        <v>734</v>
      </c>
      <c r="N289" s="36">
        <v>46013</v>
      </c>
      <c r="O289" s="36">
        <v>46014</v>
      </c>
      <c r="P289" s="21" t="s">
        <v>81</v>
      </c>
      <c r="Q289" s="37" t="s">
        <v>735</v>
      </c>
      <c r="R289" s="19" t="s">
        <v>86</v>
      </c>
      <c r="S289" s="21" t="s">
        <v>92</v>
      </c>
      <c r="T289" s="21" t="s">
        <v>95</v>
      </c>
      <c r="U289" s="21">
        <v>90</v>
      </c>
      <c r="V289" s="21" t="s">
        <v>736</v>
      </c>
      <c r="W289" s="28">
        <v>500071</v>
      </c>
      <c r="X289" s="19" t="str">
        <f>IFERROR(VLOOKUP(W289,'Personel Bilgi'!A:B,2,0),"---")</f>
        <v>IREM GOKÇE KATRANLI</v>
      </c>
      <c r="Y289" s="19" t="str">
        <f>IFERROR(VLOOKUP(W289,'Personel Bilgi'!A:C,3,0),"---")</f>
        <v>SALTUK BUGRAHAN TAYMUS</v>
      </c>
      <c r="Z289" s="22" t="s">
        <v>95</v>
      </c>
      <c r="AA289" s="22" t="s">
        <v>617</v>
      </c>
      <c r="AB289" s="22" t="s">
        <v>49</v>
      </c>
      <c r="AC289" s="21" t="s">
        <v>97</v>
      </c>
      <c r="AD289" s="21" t="s">
        <v>734</v>
      </c>
    </row>
    <row r="290" spans="1:31" x14ac:dyDescent="0.25">
      <c r="A290" s="19" t="s">
        <v>11</v>
      </c>
      <c r="B290" s="20" t="s">
        <v>1026</v>
      </c>
      <c r="C290" s="28">
        <v>5062183291</v>
      </c>
      <c r="D290" s="22" t="s">
        <v>14</v>
      </c>
      <c r="E290" s="22" t="str">
        <f>IFERROR(VLOOKUP(D290,Tanımlar!C:D,2,0),"- - -")</f>
        <v>DAĞITIM</v>
      </c>
      <c r="F290" s="28">
        <v>600736</v>
      </c>
      <c r="G290" s="28" t="str">
        <f>IFERROR(VLOOKUP(F290,'Personel Bilgi'!A:B,2,0),"- - - ")</f>
        <v>BENSU AZRA ASMA</v>
      </c>
      <c r="H290" s="28" t="str">
        <f>IFERROR(VLOOKUP(F290,'Personel Bilgi'!A:D,3,0),"- - -")</f>
        <v xml:space="preserve">İNAN UMUT ÖRNEK </v>
      </c>
      <c r="I290" s="28" t="str">
        <f>IFERROR(VLOOKUP(F290,'Personel Bilgi'!A:D,4,0),"- - -")</f>
        <v>ANKARA</v>
      </c>
      <c r="J290" s="28" t="str">
        <f>IFERROR(VLOOKUP(F290,'Personel Bilgi'!A:E,5,0),"- - -")</f>
        <v>MÜŞTERİ TEMSİLCİSİ</v>
      </c>
      <c r="K290" s="22" t="s">
        <v>49</v>
      </c>
      <c r="L290" s="21" t="s">
        <v>97</v>
      </c>
      <c r="M290" s="21" t="s">
        <v>734</v>
      </c>
      <c r="N290" s="36">
        <v>46013</v>
      </c>
      <c r="O290" s="36">
        <v>46014</v>
      </c>
      <c r="P290" s="21" t="s">
        <v>81</v>
      </c>
      <c r="Q290" s="37" t="s">
        <v>735</v>
      </c>
      <c r="R290" s="19" t="s">
        <v>86</v>
      </c>
      <c r="S290" s="21" t="s">
        <v>92</v>
      </c>
      <c r="T290" s="21" t="s">
        <v>94</v>
      </c>
      <c r="U290" s="21">
        <v>0</v>
      </c>
      <c r="V290" s="21" t="s">
        <v>736</v>
      </c>
      <c r="W290" s="28">
        <v>500071</v>
      </c>
      <c r="X290" s="19" t="str">
        <f>IFERROR(VLOOKUP(W290,'Personel Bilgi'!A:B,2,0),"---")</f>
        <v>IREM GOKÇE KATRANLI</v>
      </c>
      <c r="Y290" s="19" t="str">
        <f>IFERROR(VLOOKUP(W290,'Personel Bilgi'!A:C,3,0),"---")</f>
        <v>SALTUK BUGRAHAN TAYMUS</v>
      </c>
      <c r="Z290" s="22" t="s">
        <v>95</v>
      </c>
      <c r="AA290" s="22" t="s">
        <v>617</v>
      </c>
      <c r="AB290" s="22" t="s">
        <v>49</v>
      </c>
      <c r="AC290" s="21" t="s">
        <v>97</v>
      </c>
      <c r="AD290" s="21" t="s">
        <v>734</v>
      </c>
    </row>
    <row r="291" spans="1:31" x14ac:dyDescent="0.25">
      <c r="A291" s="19" t="s">
        <v>11</v>
      </c>
      <c r="B291" s="22" t="s">
        <v>1027</v>
      </c>
      <c r="C291" s="28">
        <v>5412036391</v>
      </c>
      <c r="D291" s="22" t="s">
        <v>14</v>
      </c>
      <c r="E291" s="22" t="str">
        <f>IFERROR(VLOOKUP(D291,Tanımlar!C:D,2,0),"- - -")</f>
        <v>DAĞITIM</v>
      </c>
      <c r="F291" s="28">
        <v>500141</v>
      </c>
      <c r="G291" s="28" t="str">
        <f>IFERROR(VLOOKUP(F291,'Personel Bilgi'!A:B,2,0),"- - - ")</f>
        <v>ZIHNI AKPINAR</v>
      </c>
      <c r="H291" s="28" t="str">
        <f>IFERROR(VLOOKUP(F291,'Personel Bilgi'!A:D,3,0),"- - -")</f>
        <v>SAMET KOCABEYOGLU</v>
      </c>
      <c r="I291" s="28" t="str">
        <f>IFERROR(VLOOKUP(F291,'Personel Bilgi'!A:D,4,0),"- - -")</f>
        <v>ERZURUM</v>
      </c>
      <c r="J291" s="28" t="str">
        <f>IFERROR(VLOOKUP(F291,'Personel Bilgi'!A:E,5,0),"- - -")</f>
        <v>MÜŞTERİ TEMSİLCİSİ</v>
      </c>
      <c r="K291" s="22" t="s">
        <v>49</v>
      </c>
      <c r="L291" s="22" t="s">
        <v>41</v>
      </c>
      <c r="M291" s="22" t="s">
        <v>42</v>
      </c>
      <c r="N291" s="36">
        <v>46013</v>
      </c>
      <c r="O291" s="36">
        <v>46014</v>
      </c>
      <c r="P291" s="21" t="s">
        <v>81</v>
      </c>
      <c r="Q291" s="37" t="s">
        <v>735</v>
      </c>
      <c r="R291" s="19" t="s">
        <v>86</v>
      </c>
      <c r="S291" s="21" t="s">
        <v>92</v>
      </c>
      <c r="T291" s="21" t="s">
        <v>95</v>
      </c>
      <c r="U291" s="21">
        <v>73</v>
      </c>
      <c r="V291" s="21" t="s">
        <v>736</v>
      </c>
      <c r="W291" s="28">
        <v>500071</v>
      </c>
      <c r="X291" s="19" t="str">
        <f>IFERROR(VLOOKUP(W291,'Personel Bilgi'!A:B,2,0),"---")</f>
        <v>IREM GOKÇE KATRANLI</v>
      </c>
      <c r="Y291" s="19" t="str">
        <f>IFERROR(VLOOKUP(W291,'Personel Bilgi'!A:C,3,0),"---")</f>
        <v>SALTUK BUGRAHAN TAYMUS</v>
      </c>
      <c r="Z291" s="22" t="s">
        <v>95</v>
      </c>
      <c r="AA291" s="22" t="s">
        <v>617</v>
      </c>
      <c r="AB291" s="22" t="s">
        <v>49</v>
      </c>
      <c r="AC291" s="22" t="s">
        <v>41</v>
      </c>
      <c r="AD291" s="22" t="s">
        <v>42</v>
      </c>
    </row>
    <row r="292" spans="1:31" x14ac:dyDescent="0.25">
      <c r="A292" s="19" t="s">
        <v>9</v>
      </c>
      <c r="B292" s="19">
        <v>2505243968</v>
      </c>
      <c r="C292" s="28">
        <v>5305525903</v>
      </c>
      <c r="D292" s="22" t="s">
        <v>14</v>
      </c>
      <c r="E292" s="22" t="str">
        <f>IFERROR(VLOOKUP(D292,Tanımlar!C:D,2,0),"- - -")</f>
        <v>DAĞITIM</v>
      </c>
      <c r="F292" s="28">
        <v>500146</v>
      </c>
      <c r="G292" s="28" t="str">
        <f>IFERROR(VLOOKUP(F292,'Personel Bilgi'!A:B,2,0),"- - - ")</f>
        <v>BUSRA ISIK</v>
      </c>
      <c r="H292" s="28" t="str">
        <f>IFERROR(VLOOKUP(F292,'Personel Bilgi'!A:D,3,0),"- - -")</f>
        <v>KURSAD TERCANLI</v>
      </c>
      <c r="I292" s="28" t="str">
        <f>IFERROR(VLOOKUP(F292,'Personel Bilgi'!A:D,4,0),"- - -")</f>
        <v>ERZURUM</v>
      </c>
      <c r="J292" s="28" t="str">
        <f>IFERROR(VLOOKUP(F292,'Personel Bilgi'!A:E,5,0),"- - -")</f>
        <v>MÜŞTERİ TEMSİLCİSİ</v>
      </c>
      <c r="K292" s="22" t="s">
        <v>50</v>
      </c>
      <c r="L292" s="22" t="s">
        <v>97</v>
      </c>
      <c r="M292" s="22" t="s">
        <v>734</v>
      </c>
      <c r="N292" s="36">
        <v>45982</v>
      </c>
      <c r="O292" s="36">
        <v>46014</v>
      </c>
      <c r="P292" s="21" t="s">
        <v>81</v>
      </c>
      <c r="Q292" s="37" t="s">
        <v>735</v>
      </c>
      <c r="R292" s="19" t="s">
        <v>86</v>
      </c>
      <c r="S292" s="21" t="s">
        <v>93</v>
      </c>
      <c r="T292" s="21" t="s">
        <v>95</v>
      </c>
      <c r="U292" s="21" t="s">
        <v>735</v>
      </c>
      <c r="V292" s="21" t="s">
        <v>736</v>
      </c>
      <c r="W292" s="28">
        <v>888888</v>
      </c>
      <c r="X292" s="19" t="str">
        <f>IFERROR(VLOOKUP(W292,'Personel Bilgi'!A:B,2,0),"---")</f>
        <v>CİMER</v>
      </c>
      <c r="Y292" s="19" t="str">
        <f>IFERROR(VLOOKUP(W292,'Personel Bilgi'!A:C,3,0),"---")</f>
        <v>CİMER</v>
      </c>
      <c r="Z292" s="19" t="str">
        <f>IFERROR(VLOOKUP(X292,'Personel Bilgi'!B:D,3,0),"---")</f>
        <v>CİMER</v>
      </c>
      <c r="AA292" s="19" t="str">
        <f>IFERROR(VLOOKUP(Y292,'Personel Bilgi'!C:E,3,0),"---")</f>
        <v>CİMER</v>
      </c>
      <c r="AB292" s="22" t="s">
        <v>50</v>
      </c>
      <c r="AC292" s="22" t="s">
        <v>97</v>
      </c>
      <c r="AD292" s="22" t="s">
        <v>734</v>
      </c>
    </row>
    <row r="293" spans="1:31" x14ac:dyDescent="0.25">
      <c r="A293" s="19" t="s">
        <v>9</v>
      </c>
      <c r="B293" s="19">
        <v>2505243968</v>
      </c>
      <c r="C293" s="28">
        <v>5305525903</v>
      </c>
      <c r="D293" s="22" t="s">
        <v>14</v>
      </c>
      <c r="E293" s="22" t="str">
        <f>IFERROR(VLOOKUP(D293,Tanımlar!C:D,2,0),"- - -")</f>
        <v>DAĞITIM</v>
      </c>
      <c r="F293" s="28">
        <v>110632</v>
      </c>
      <c r="G293" s="28" t="str">
        <f>IFERROR(VLOOKUP(F293,'Personel Bilgi'!A:B,2,0),"- - - ")</f>
        <v>UMITCAN KILICOGLU</v>
      </c>
      <c r="H293" s="28" t="str">
        <f>IFERROR(VLOOKUP(F293,'Personel Bilgi'!A:D,3,0),"- - -")</f>
        <v>MUHAMMET AKSU</v>
      </c>
      <c r="I293" s="28" t="str">
        <f>IFERROR(VLOOKUP(F293,'Personel Bilgi'!A:D,4,0),"- - -")</f>
        <v>KARS</v>
      </c>
      <c r="J293" s="28" t="str">
        <f>IFERROR(VLOOKUP(F293,'Personel Bilgi'!A:E,5,0),"- - -")</f>
        <v>MÜŞTERİ TEMSİLCİSİ</v>
      </c>
      <c r="K293" s="22" t="s">
        <v>50</v>
      </c>
      <c r="L293" s="22" t="s">
        <v>97</v>
      </c>
      <c r="M293" s="22" t="s">
        <v>734</v>
      </c>
      <c r="N293" s="36">
        <v>45985</v>
      </c>
      <c r="O293" s="36">
        <v>46014</v>
      </c>
      <c r="P293" s="21" t="s">
        <v>81</v>
      </c>
      <c r="Q293" s="37" t="s">
        <v>735</v>
      </c>
      <c r="R293" s="19" t="s">
        <v>86</v>
      </c>
      <c r="S293" s="21" t="s">
        <v>93</v>
      </c>
      <c r="T293" s="21" t="s">
        <v>95</v>
      </c>
      <c r="U293" s="21" t="s">
        <v>735</v>
      </c>
      <c r="V293" s="21" t="s">
        <v>736</v>
      </c>
      <c r="W293" s="28">
        <v>888888</v>
      </c>
      <c r="X293" s="19" t="str">
        <f>IFERROR(VLOOKUP(W293,'Personel Bilgi'!A:B,2,0),"---")</f>
        <v>CİMER</v>
      </c>
      <c r="Y293" s="19" t="str">
        <f>IFERROR(VLOOKUP(W293,'Personel Bilgi'!A:C,3,0),"---")</f>
        <v>CİMER</v>
      </c>
      <c r="Z293" s="19" t="str">
        <f>IFERROR(VLOOKUP(X293,'Personel Bilgi'!B:D,3,0),"---")</f>
        <v>CİMER</v>
      </c>
      <c r="AA293" s="19" t="str">
        <f>IFERROR(VLOOKUP(Y293,'Personel Bilgi'!C:E,3,0),"---")</f>
        <v>CİMER</v>
      </c>
      <c r="AB293" s="22" t="s">
        <v>50</v>
      </c>
      <c r="AC293" s="22" t="s">
        <v>97</v>
      </c>
      <c r="AD293" s="22" t="s">
        <v>734</v>
      </c>
    </row>
    <row r="294" spans="1:31" x14ac:dyDescent="0.25">
      <c r="A294" s="19" t="s">
        <v>9</v>
      </c>
      <c r="B294" s="19">
        <v>2505243968</v>
      </c>
      <c r="C294" s="28">
        <v>5305525903</v>
      </c>
      <c r="D294" s="22" t="s">
        <v>14</v>
      </c>
      <c r="E294" s="22" t="str">
        <f>IFERROR(VLOOKUP(D294,Tanımlar!C:D,2,0),"- - -")</f>
        <v>DAĞITIM</v>
      </c>
      <c r="F294" s="28">
        <v>110303</v>
      </c>
      <c r="G294" s="28" t="str">
        <f>IFERROR(VLOOKUP(F294,'Personel Bilgi'!A:B,2,0),"- - - ")</f>
        <v>YAREN OZAYAG</v>
      </c>
      <c r="H294" s="28" t="str">
        <f>IFERROR(VLOOKUP(F294,'Personel Bilgi'!A:D,3,0),"- - -")</f>
        <v>YAREN OZAYAG</v>
      </c>
      <c r="I294" s="28" t="str">
        <f>IFERROR(VLOOKUP(F294,'Personel Bilgi'!A:D,4,0),"- - -")</f>
        <v>KARS</v>
      </c>
      <c r="J294" s="28" t="str">
        <f>IFERROR(VLOOKUP(F294,'Personel Bilgi'!A:E,5,0),"- - -")</f>
        <v>TAKIM LİDERİ</v>
      </c>
      <c r="K294" s="22" t="s">
        <v>50</v>
      </c>
      <c r="L294" s="22" t="s">
        <v>97</v>
      </c>
      <c r="M294" s="22" t="s">
        <v>734</v>
      </c>
      <c r="N294" s="36">
        <v>45985</v>
      </c>
      <c r="O294" s="36">
        <v>46014</v>
      </c>
      <c r="P294" s="21" t="s">
        <v>81</v>
      </c>
      <c r="Q294" s="37" t="s">
        <v>735</v>
      </c>
      <c r="R294" s="19" t="s">
        <v>86</v>
      </c>
      <c r="S294" s="21" t="s">
        <v>93</v>
      </c>
      <c r="T294" s="21" t="s">
        <v>95</v>
      </c>
      <c r="U294" s="21" t="s">
        <v>735</v>
      </c>
      <c r="V294" s="21" t="s">
        <v>736</v>
      </c>
      <c r="W294" s="28">
        <v>888888</v>
      </c>
      <c r="X294" s="19" t="str">
        <f>IFERROR(VLOOKUP(W294,'Personel Bilgi'!A:B,2,0),"---")</f>
        <v>CİMER</v>
      </c>
      <c r="Y294" s="19" t="str">
        <f>IFERROR(VLOOKUP(W294,'Personel Bilgi'!A:C,3,0),"---")</f>
        <v>CİMER</v>
      </c>
      <c r="Z294" s="19" t="str">
        <f>IFERROR(VLOOKUP(X294,'Personel Bilgi'!B:D,3,0),"---")</f>
        <v>CİMER</v>
      </c>
      <c r="AA294" s="19" t="str">
        <f>IFERROR(VLOOKUP(Y294,'Personel Bilgi'!C:E,3,0),"---")</f>
        <v>CİMER</v>
      </c>
      <c r="AB294" s="22" t="s">
        <v>50</v>
      </c>
      <c r="AC294" s="22" t="s">
        <v>97</v>
      </c>
      <c r="AD294" s="22" t="s">
        <v>734</v>
      </c>
    </row>
    <row r="295" spans="1:31" x14ac:dyDescent="0.25">
      <c r="A295" s="19" t="s">
        <v>9</v>
      </c>
      <c r="B295" s="19">
        <v>2505243968</v>
      </c>
      <c r="C295" s="28">
        <v>5305525903</v>
      </c>
      <c r="D295" s="22" t="s">
        <v>14</v>
      </c>
      <c r="E295" s="22" t="str">
        <f>IFERROR(VLOOKUP(D295,Tanımlar!C:D,2,0),"- - -")</f>
        <v>DAĞITIM</v>
      </c>
      <c r="F295" s="28">
        <v>500061</v>
      </c>
      <c r="G295" s="28" t="str">
        <f>IFERROR(VLOOKUP(F295,'Personel Bilgi'!A:B,2,0),"- - - ")</f>
        <v>YASIN CAKAR</v>
      </c>
      <c r="H295" s="28" t="str">
        <f>IFERROR(VLOOKUP(F295,'Personel Bilgi'!A:D,3,0),"- - -")</f>
        <v>MEHMET ALI SAVAN</v>
      </c>
      <c r="I295" s="28" t="str">
        <f>IFERROR(VLOOKUP(F295,'Personel Bilgi'!A:D,4,0),"- - -")</f>
        <v>ERZURUM</v>
      </c>
      <c r="J295" s="28" t="str">
        <f>IFERROR(VLOOKUP(F295,'Personel Bilgi'!A:E,5,0),"- - -")</f>
        <v>MÜŞTERİ TEMSİLCİSİ</v>
      </c>
      <c r="K295" s="22" t="s">
        <v>50</v>
      </c>
      <c r="L295" s="22" t="s">
        <v>97</v>
      </c>
      <c r="M295" s="22" t="s">
        <v>734</v>
      </c>
      <c r="N295" s="36">
        <v>45987</v>
      </c>
      <c r="O295" s="36">
        <v>46014</v>
      </c>
      <c r="P295" s="21" t="s">
        <v>81</v>
      </c>
      <c r="Q295" s="37" t="s">
        <v>735</v>
      </c>
      <c r="R295" s="19" t="s">
        <v>86</v>
      </c>
      <c r="S295" s="21" t="s">
        <v>93</v>
      </c>
      <c r="T295" s="21" t="s">
        <v>95</v>
      </c>
      <c r="U295" s="21" t="s">
        <v>735</v>
      </c>
      <c r="V295" s="21" t="s">
        <v>736</v>
      </c>
      <c r="W295" s="28">
        <v>888888</v>
      </c>
      <c r="X295" s="19" t="str">
        <f>IFERROR(VLOOKUP(W295,'Personel Bilgi'!A:B,2,0),"---")</f>
        <v>CİMER</v>
      </c>
      <c r="Y295" s="19" t="str">
        <f>IFERROR(VLOOKUP(W295,'Personel Bilgi'!A:C,3,0),"---")</f>
        <v>CİMER</v>
      </c>
      <c r="Z295" s="19" t="str">
        <f>IFERROR(VLOOKUP(X295,'Personel Bilgi'!B:D,3,0),"---")</f>
        <v>CİMER</v>
      </c>
      <c r="AA295" s="19" t="str">
        <f>IFERROR(VLOOKUP(Y295,'Personel Bilgi'!C:E,3,0),"---")</f>
        <v>CİMER</v>
      </c>
      <c r="AB295" s="22" t="s">
        <v>50</v>
      </c>
      <c r="AC295" s="22" t="s">
        <v>97</v>
      </c>
      <c r="AD295" s="22" t="s">
        <v>734</v>
      </c>
    </row>
    <row r="296" spans="1:31" x14ac:dyDescent="0.25">
      <c r="A296" s="19" t="s">
        <v>9</v>
      </c>
      <c r="B296" s="19">
        <v>2505243968</v>
      </c>
      <c r="C296" s="28">
        <v>5305525903</v>
      </c>
      <c r="D296" s="22" t="s">
        <v>14</v>
      </c>
      <c r="E296" s="22" t="str">
        <f>IFERROR(VLOOKUP(D296,Tanımlar!C:D,2,0),"- - -")</f>
        <v>DAĞITIM</v>
      </c>
      <c r="F296" s="28">
        <v>500114</v>
      </c>
      <c r="G296" s="28" t="str">
        <f>IFERROR(VLOOKUP(F296,'Personel Bilgi'!A:B,2,0),"- - - ")</f>
        <v>SUKRUYE OZMEN</v>
      </c>
      <c r="H296" s="28" t="str">
        <f>IFERROR(VLOOKUP(F296,'Personel Bilgi'!A:D,3,0),"- - -")</f>
        <v>METEHAN EMRE SIRMALI</v>
      </c>
      <c r="I296" s="28" t="str">
        <f>IFERROR(VLOOKUP(F296,'Personel Bilgi'!A:D,4,0),"- - -")</f>
        <v>ERZURUM</v>
      </c>
      <c r="J296" s="28" t="str">
        <f>IFERROR(VLOOKUP(F296,'Personel Bilgi'!A:E,5,0),"- - -")</f>
        <v>MÜŞTERİ TEMSİLCİSİ</v>
      </c>
      <c r="K296" s="22" t="s">
        <v>50</v>
      </c>
      <c r="L296" s="22" t="s">
        <v>97</v>
      </c>
      <c r="M296" s="22" t="s">
        <v>734</v>
      </c>
      <c r="N296" s="36">
        <v>45989</v>
      </c>
      <c r="O296" s="36">
        <v>46014</v>
      </c>
      <c r="P296" s="21" t="s">
        <v>81</v>
      </c>
      <c r="Q296" s="37" t="s">
        <v>735</v>
      </c>
      <c r="R296" s="19" t="s">
        <v>86</v>
      </c>
      <c r="S296" s="21" t="s">
        <v>93</v>
      </c>
      <c r="T296" s="21" t="s">
        <v>95</v>
      </c>
      <c r="U296" s="21" t="s">
        <v>735</v>
      </c>
      <c r="V296" s="21" t="s">
        <v>736</v>
      </c>
      <c r="W296" s="28">
        <v>888888</v>
      </c>
      <c r="X296" s="19" t="str">
        <f>IFERROR(VLOOKUP(W296,'Personel Bilgi'!A:B,2,0),"---")</f>
        <v>CİMER</v>
      </c>
      <c r="Y296" s="19" t="str">
        <f>IFERROR(VLOOKUP(W296,'Personel Bilgi'!A:C,3,0),"---")</f>
        <v>CİMER</v>
      </c>
      <c r="Z296" s="19" t="str">
        <f>IFERROR(VLOOKUP(X296,'Personel Bilgi'!B:D,3,0),"---")</f>
        <v>CİMER</v>
      </c>
      <c r="AA296" s="19" t="str">
        <f>IFERROR(VLOOKUP(Y296,'Personel Bilgi'!C:E,3,0),"---")</f>
        <v>CİMER</v>
      </c>
      <c r="AB296" s="22" t="s">
        <v>50</v>
      </c>
      <c r="AC296" s="22" t="s">
        <v>97</v>
      </c>
      <c r="AD296" s="22" t="s">
        <v>734</v>
      </c>
    </row>
    <row r="297" spans="1:31" x14ac:dyDescent="0.25">
      <c r="A297" s="19" t="s">
        <v>9</v>
      </c>
      <c r="B297" s="19">
        <v>2505243968</v>
      </c>
      <c r="C297" s="28">
        <v>5305525903</v>
      </c>
      <c r="D297" s="22" t="s">
        <v>14</v>
      </c>
      <c r="E297" s="22" t="str">
        <f>IFERROR(VLOOKUP(D297,Tanımlar!C:D,2,0),"- - -")</f>
        <v>DAĞITIM</v>
      </c>
      <c r="F297" s="28">
        <v>500116</v>
      </c>
      <c r="G297" s="28" t="str">
        <f>IFERROR(VLOOKUP(F297,'Personel Bilgi'!A:B,2,0),"- - - ")</f>
        <v>UMUT CAN GOVEZ</v>
      </c>
      <c r="H297" s="28" t="str">
        <f>IFERROR(VLOOKUP(F297,'Personel Bilgi'!A:D,3,0),"- - -")</f>
        <v>METEHAN EMRE SIRMALI</v>
      </c>
      <c r="I297" s="28" t="str">
        <f>IFERROR(VLOOKUP(F297,'Personel Bilgi'!A:D,4,0),"- - -")</f>
        <v>ERZURUM</v>
      </c>
      <c r="J297" s="28" t="str">
        <f>IFERROR(VLOOKUP(F297,'Personel Bilgi'!A:E,5,0),"- - -")</f>
        <v>MÜŞTERİ TEMSİLCİSİ</v>
      </c>
      <c r="K297" s="22" t="s">
        <v>50</v>
      </c>
      <c r="L297" s="22" t="s">
        <v>97</v>
      </c>
      <c r="M297" s="22" t="s">
        <v>734</v>
      </c>
      <c r="N297" s="36">
        <v>45989</v>
      </c>
      <c r="O297" s="36">
        <v>46014</v>
      </c>
      <c r="P297" s="21" t="s">
        <v>81</v>
      </c>
      <c r="Q297" s="37" t="s">
        <v>735</v>
      </c>
      <c r="R297" s="19" t="s">
        <v>86</v>
      </c>
      <c r="S297" s="21" t="s">
        <v>93</v>
      </c>
      <c r="T297" s="21" t="s">
        <v>95</v>
      </c>
      <c r="U297" s="21" t="s">
        <v>735</v>
      </c>
      <c r="V297" s="21" t="s">
        <v>736</v>
      </c>
      <c r="W297" s="28">
        <v>888888</v>
      </c>
      <c r="X297" s="19" t="str">
        <f>IFERROR(VLOOKUP(W297,'Personel Bilgi'!A:B,2,0),"---")</f>
        <v>CİMER</v>
      </c>
      <c r="Y297" s="19" t="str">
        <f>IFERROR(VLOOKUP(W297,'Personel Bilgi'!A:C,3,0),"---")</f>
        <v>CİMER</v>
      </c>
      <c r="Z297" s="19" t="str">
        <f>IFERROR(VLOOKUP(X297,'Personel Bilgi'!B:D,3,0),"---")</f>
        <v>CİMER</v>
      </c>
      <c r="AA297" s="19" t="str">
        <f>IFERROR(VLOOKUP(Y297,'Personel Bilgi'!C:E,3,0),"---")</f>
        <v>CİMER</v>
      </c>
      <c r="AB297" s="22" t="s">
        <v>50</v>
      </c>
      <c r="AC297" s="22" t="s">
        <v>97</v>
      </c>
      <c r="AD297" s="22" t="s">
        <v>734</v>
      </c>
    </row>
    <row r="298" spans="1:31" x14ac:dyDescent="0.25">
      <c r="A298" s="19" t="s">
        <v>9</v>
      </c>
      <c r="B298" s="19">
        <v>2505243968</v>
      </c>
      <c r="C298" s="28">
        <v>5305525903</v>
      </c>
      <c r="D298" s="22" t="s">
        <v>14</v>
      </c>
      <c r="E298" s="22" t="str">
        <f>IFERROR(VLOOKUP(D298,Tanımlar!C:D,2,0),"- - -")</f>
        <v>DAĞITIM</v>
      </c>
      <c r="F298" s="28">
        <v>210013</v>
      </c>
      <c r="G298" s="28" t="str">
        <f>IFERROR(VLOOKUP(F298,'Personel Bilgi'!A:B,2,0),"- - - ")</f>
        <v>CEYHAN AYRIC</v>
      </c>
      <c r="H298" s="28" t="str">
        <f>IFERROR(VLOOKUP(F298,'Personel Bilgi'!A:D,3,0),"- - -")</f>
        <v>CEYHAN AYRIC</v>
      </c>
      <c r="I298" s="28" t="str">
        <f>IFERROR(VLOOKUP(F298,'Personel Bilgi'!A:D,4,0),"- - -")</f>
        <v>KARS</v>
      </c>
      <c r="J298" s="28" t="str">
        <f>IFERROR(VLOOKUP(F298,'Personel Bilgi'!A:E,5,0),"- - -")</f>
        <v>TAKIM LİDERİ</v>
      </c>
      <c r="K298" s="22" t="s">
        <v>50</v>
      </c>
      <c r="L298" s="22" t="s">
        <v>97</v>
      </c>
      <c r="M298" s="22" t="s">
        <v>734</v>
      </c>
      <c r="N298" s="36">
        <v>45991</v>
      </c>
      <c r="O298" s="36">
        <v>46014</v>
      </c>
      <c r="P298" s="21" t="s">
        <v>81</v>
      </c>
      <c r="Q298" s="37" t="s">
        <v>735</v>
      </c>
      <c r="R298" s="19" t="s">
        <v>86</v>
      </c>
      <c r="S298" s="21" t="s">
        <v>93</v>
      </c>
      <c r="T298" s="21" t="s">
        <v>95</v>
      </c>
      <c r="U298" s="21" t="s">
        <v>735</v>
      </c>
      <c r="V298" s="21" t="s">
        <v>736</v>
      </c>
      <c r="W298" s="28">
        <v>888888</v>
      </c>
      <c r="X298" s="19" t="str">
        <f>IFERROR(VLOOKUP(W298,'Personel Bilgi'!A:B,2,0),"---")</f>
        <v>CİMER</v>
      </c>
      <c r="Y298" s="19" t="str">
        <f>IFERROR(VLOOKUP(X298,'Personel Bilgi'!B:C,2,0),"---")</f>
        <v>CİMER</v>
      </c>
      <c r="Z298" s="19" t="str">
        <f>IFERROR(VLOOKUP(X298,'Personel Bilgi'!B:D,3,0),"---")</f>
        <v>CİMER</v>
      </c>
      <c r="AA298" s="19" t="str">
        <f>IFERROR(VLOOKUP(Y298,'Personel Bilgi'!C:E,3,0),"---")</f>
        <v>CİMER</v>
      </c>
      <c r="AB298" s="22" t="s">
        <v>50</v>
      </c>
      <c r="AC298" s="22" t="s">
        <v>97</v>
      </c>
      <c r="AD298" s="22" t="s">
        <v>734</v>
      </c>
    </row>
    <row r="299" spans="1:31" x14ac:dyDescent="0.25">
      <c r="A299" s="19" t="s">
        <v>9</v>
      </c>
      <c r="B299" s="19">
        <v>2505243968</v>
      </c>
      <c r="C299" s="28">
        <v>5305525903</v>
      </c>
      <c r="D299" s="22" t="s">
        <v>14</v>
      </c>
      <c r="E299" s="22" t="str">
        <f>IFERROR(VLOOKUP(D299,Tanımlar!C:D,2,0),"- - -")</f>
        <v>DAĞITIM</v>
      </c>
      <c r="F299" s="28">
        <v>500031</v>
      </c>
      <c r="G299" s="28" t="str">
        <f>IFERROR(VLOOKUP(F299,'Personel Bilgi'!A:B,2,0),"- - - ")</f>
        <v>OZGEN ERTEK</v>
      </c>
      <c r="H299" s="28" t="str">
        <f>IFERROR(VLOOKUP(F299,'Personel Bilgi'!A:D,3,0),"- - -")</f>
        <v>ERDOGAN DURUK</v>
      </c>
      <c r="I299" s="28" t="str">
        <f>IFERROR(VLOOKUP(F299,'Personel Bilgi'!A:D,4,0),"- - -")</f>
        <v>ERZURUM</v>
      </c>
      <c r="J299" s="28" t="str">
        <f>IFERROR(VLOOKUP(F299,'Personel Bilgi'!A:E,5,0),"- - -")</f>
        <v>MÜŞTERİ TEMSİLCİSİ</v>
      </c>
      <c r="K299" s="22" t="s">
        <v>50</v>
      </c>
      <c r="L299" s="22" t="s">
        <v>97</v>
      </c>
      <c r="M299" s="22" t="s">
        <v>734</v>
      </c>
      <c r="N299" s="36">
        <v>45994</v>
      </c>
      <c r="O299" s="36">
        <v>46014</v>
      </c>
      <c r="P299" s="21" t="s">
        <v>81</v>
      </c>
      <c r="Q299" s="37" t="s">
        <v>735</v>
      </c>
      <c r="R299" s="19" t="s">
        <v>86</v>
      </c>
      <c r="S299" s="21" t="s">
        <v>93</v>
      </c>
      <c r="T299" s="21" t="s">
        <v>95</v>
      </c>
      <c r="U299" s="21" t="s">
        <v>735</v>
      </c>
      <c r="V299" s="21" t="s">
        <v>736</v>
      </c>
      <c r="W299" s="28">
        <v>888888</v>
      </c>
      <c r="X299" s="19" t="str">
        <f>IFERROR(VLOOKUP(W299,'Personel Bilgi'!A:B,2,0),"---")</f>
        <v>CİMER</v>
      </c>
      <c r="Y299" s="19" t="str">
        <f>IFERROR(VLOOKUP(X299,'Personel Bilgi'!B:C,2,0),"---")</f>
        <v>CİMER</v>
      </c>
      <c r="Z299" s="19" t="str">
        <f>IFERROR(VLOOKUP(X299,'Personel Bilgi'!B:D,3,0),"---")</f>
        <v>CİMER</v>
      </c>
      <c r="AA299" s="19" t="str">
        <f>IFERROR(VLOOKUP(Y299,'Personel Bilgi'!C:E,3,0),"---")</f>
        <v>CİMER</v>
      </c>
      <c r="AB299" s="22" t="s">
        <v>50</v>
      </c>
      <c r="AC299" s="22" t="s">
        <v>97</v>
      </c>
      <c r="AD299" s="22" t="s">
        <v>734</v>
      </c>
    </row>
    <row r="300" spans="1:31" x14ac:dyDescent="0.25">
      <c r="A300" s="19" t="s">
        <v>9</v>
      </c>
      <c r="B300" s="19">
        <v>2505243968</v>
      </c>
      <c r="C300" s="28">
        <v>5305525903</v>
      </c>
      <c r="D300" s="22" t="s">
        <v>14</v>
      </c>
      <c r="E300" s="22" t="str">
        <f>IFERROR(VLOOKUP(D300,Tanımlar!C:D,2,0),"- - -")</f>
        <v>DAĞITIM</v>
      </c>
      <c r="F300" s="28">
        <v>500153</v>
      </c>
      <c r="G300" s="28" t="str">
        <f>IFERROR(VLOOKUP(F300,'Personel Bilgi'!A:B,2,0),"- - - ")</f>
        <v>ESRA YILMAZ</v>
      </c>
      <c r="H300" s="28" t="str">
        <f>IFERROR(VLOOKUP(F300,'Personel Bilgi'!A:D,3,0),"- - -")</f>
        <v>KURSAD TERCANLI</v>
      </c>
      <c r="I300" s="28" t="str">
        <f>IFERROR(VLOOKUP(F300,'Personel Bilgi'!A:D,4,0),"- - -")</f>
        <v>ERZURUM</v>
      </c>
      <c r="J300" s="28" t="str">
        <f>IFERROR(VLOOKUP(F300,'Personel Bilgi'!A:E,5,0),"- - -")</f>
        <v>MÜŞTERİ TEMSİLCİSİ</v>
      </c>
      <c r="K300" s="22" t="s">
        <v>50</v>
      </c>
      <c r="L300" s="22" t="s">
        <v>97</v>
      </c>
      <c r="M300" s="22" t="s">
        <v>734</v>
      </c>
      <c r="N300" s="36">
        <v>46001</v>
      </c>
      <c r="O300" s="36">
        <v>46014</v>
      </c>
      <c r="P300" s="21" t="s">
        <v>81</v>
      </c>
      <c r="Q300" s="37" t="s">
        <v>735</v>
      </c>
      <c r="R300" s="19" t="s">
        <v>86</v>
      </c>
      <c r="S300" s="21" t="s">
        <v>93</v>
      </c>
      <c r="T300" s="21" t="s">
        <v>95</v>
      </c>
      <c r="U300" s="21" t="s">
        <v>735</v>
      </c>
      <c r="V300" s="21" t="s">
        <v>736</v>
      </c>
      <c r="W300" s="28">
        <v>888888</v>
      </c>
      <c r="X300" s="19" t="str">
        <f>IFERROR(VLOOKUP(W300,'Personel Bilgi'!A:B,2,0),"---")</f>
        <v>CİMER</v>
      </c>
      <c r="Y300" s="19" t="str">
        <f>IFERROR(VLOOKUP(X300,'Personel Bilgi'!B:C,2,0),"---")</f>
        <v>CİMER</v>
      </c>
      <c r="Z300" s="19" t="str">
        <f>IFERROR(VLOOKUP(X300,'Personel Bilgi'!B:D,3,0),"---")</f>
        <v>CİMER</v>
      </c>
      <c r="AA300" s="19" t="str">
        <f>IFERROR(VLOOKUP(Y300,'Personel Bilgi'!C:E,3,0),"---")</f>
        <v>CİMER</v>
      </c>
      <c r="AB300" s="22" t="s">
        <v>50</v>
      </c>
      <c r="AC300" s="22" t="s">
        <v>97</v>
      </c>
      <c r="AD300" s="22" t="s">
        <v>734</v>
      </c>
    </row>
    <row r="301" spans="1:31" x14ac:dyDescent="0.25">
      <c r="A301" s="19" t="s">
        <v>11</v>
      </c>
      <c r="B301" s="19" t="s">
        <v>1028</v>
      </c>
      <c r="C301" s="28">
        <v>5344652485</v>
      </c>
      <c r="D301" s="19" t="s">
        <v>15</v>
      </c>
      <c r="E301" s="19" t="str">
        <f>IFERROR(VLOOKUP(D301,Tanımlar!C:D,2,0),"- - -")</f>
        <v>PERAKENDE</v>
      </c>
      <c r="F301" s="28"/>
      <c r="G301" s="28" t="str">
        <f>IFERROR(VLOOKUP(F301,'Personel Bilgi'!A:B,2,0),"- - - ")</f>
        <v xml:space="preserve">- - - </v>
      </c>
      <c r="H301" s="28" t="str">
        <f>IFERROR(VLOOKUP(F301,'Personel Bilgi'!A:D,3,0),"- - -")</f>
        <v>- - -</v>
      </c>
      <c r="I301" s="28" t="str">
        <f>IFERROR(VLOOKUP(F301,'Personel Bilgi'!A:D,4,0),"- - -")</f>
        <v>- - -</v>
      </c>
      <c r="J301" s="28" t="str">
        <f>IFERROR(VLOOKUP(F301,'Personel Bilgi'!A:E,5,0),"- - -")</f>
        <v>- - -</v>
      </c>
      <c r="K301" s="22" t="s">
        <v>73</v>
      </c>
      <c r="L301" s="21"/>
      <c r="M301" s="21" t="s">
        <v>864</v>
      </c>
      <c r="N301" s="36">
        <v>46013</v>
      </c>
      <c r="O301" s="36">
        <v>46014</v>
      </c>
      <c r="P301" s="21" t="s">
        <v>81</v>
      </c>
      <c r="Q301" s="37" t="s">
        <v>735</v>
      </c>
      <c r="R301" s="19" t="s">
        <v>86</v>
      </c>
      <c r="S301" s="21" t="s">
        <v>93</v>
      </c>
      <c r="T301" s="21" t="s">
        <v>95</v>
      </c>
      <c r="U301" s="21" t="s">
        <v>735</v>
      </c>
      <c r="V301" s="21" t="s">
        <v>736</v>
      </c>
      <c r="W301" s="28">
        <v>110463</v>
      </c>
      <c r="X301" s="19" t="str">
        <f>IFERROR(VLOOKUP(W301,'Personel Bilgi'!A:B,2,0),"---")</f>
        <v>MUHAMMET ACAY</v>
      </c>
      <c r="Y301" s="19" t="str">
        <f>IFERROR(VLOOKUP(X301,'Personel Bilgi'!B:C,2,0),"---")</f>
        <v>SEDA SEBU</v>
      </c>
      <c r="Z301" s="22" t="s">
        <v>95</v>
      </c>
      <c r="AA301" s="22" t="s">
        <v>617</v>
      </c>
      <c r="AB301" s="22" t="s">
        <v>73</v>
      </c>
      <c r="AC301" s="21" t="s">
        <v>97</v>
      </c>
      <c r="AD301" s="21" t="s">
        <v>734</v>
      </c>
      <c r="AE301" s="29" t="s">
        <v>1029</v>
      </c>
    </row>
    <row r="302" spans="1:31" x14ac:dyDescent="0.25">
      <c r="A302" s="19" t="s">
        <v>11</v>
      </c>
      <c r="B302" s="19" t="s">
        <v>1030</v>
      </c>
      <c r="C302" s="28">
        <v>5534444804</v>
      </c>
      <c r="D302" s="19" t="s">
        <v>15</v>
      </c>
      <c r="E302" s="19" t="str">
        <f>IFERROR(VLOOKUP(D302,Tanımlar!C:D,2,0),"- - -")</f>
        <v>PERAKENDE</v>
      </c>
      <c r="F302" s="28">
        <v>111211</v>
      </c>
      <c r="G302" s="28" t="str">
        <f>IFERROR(VLOOKUP(F302,'Personel Bilgi'!A:B,2,0),"- - - ")</f>
        <v>SIBEL TAMCINAR</v>
      </c>
      <c r="H302" s="28" t="str">
        <f>IFERROR(VLOOKUP(F302,'Personel Bilgi'!A:D,3,0),"- - -")</f>
        <v>YAPRAK KARAKOC</v>
      </c>
      <c r="I302" s="28" t="str">
        <f>IFERROR(VLOOKUP(F302,'Personel Bilgi'!A:D,4,0),"- - -")</f>
        <v>KARS</v>
      </c>
      <c r="J302" s="28" t="str">
        <f>IFERROR(VLOOKUP(F302,'Personel Bilgi'!A:E,5,0),"- - -")</f>
        <v>MÜŞTERİ TEMSİLCİSİ</v>
      </c>
      <c r="K302" s="22" t="s">
        <v>65</v>
      </c>
      <c r="L302" s="21" t="s">
        <v>41</v>
      </c>
      <c r="M302" s="21" t="s">
        <v>44</v>
      </c>
      <c r="N302" s="36">
        <v>46013</v>
      </c>
      <c r="O302" s="36">
        <v>46014</v>
      </c>
      <c r="P302" s="19" t="s">
        <v>79</v>
      </c>
      <c r="Q302" s="37" t="s">
        <v>735</v>
      </c>
      <c r="R302" s="19" t="s">
        <v>86</v>
      </c>
      <c r="S302" s="21" t="s">
        <v>92</v>
      </c>
      <c r="T302" s="21" t="s">
        <v>94</v>
      </c>
      <c r="U302" s="21">
        <v>0</v>
      </c>
      <c r="V302" s="21" t="s">
        <v>736</v>
      </c>
      <c r="W302" s="28">
        <v>110707</v>
      </c>
      <c r="X302" s="19" t="str">
        <f>IFERROR(VLOOKUP(W302,'Personel Bilgi'!A:B,2,0),"---")</f>
        <v>MELISA YIGIT</v>
      </c>
      <c r="Y302" s="19" t="str">
        <f>IFERROR(VLOOKUP(X302,'Personel Bilgi'!B:C,2,0),"---")</f>
        <v>MUHAMMET AKSU</v>
      </c>
      <c r="Z302" s="22" t="s">
        <v>95</v>
      </c>
      <c r="AA302" s="22" t="s">
        <v>617</v>
      </c>
      <c r="AB302" s="22" t="s">
        <v>65</v>
      </c>
      <c r="AC302" s="21" t="s">
        <v>41</v>
      </c>
      <c r="AD302" s="21" t="s">
        <v>44</v>
      </c>
    </row>
    <row r="303" spans="1:31" x14ac:dyDescent="0.25">
      <c r="A303" s="19" t="s">
        <v>11</v>
      </c>
      <c r="B303" s="19" t="s">
        <v>1031</v>
      </c>
      <c r="C303" s="28">
        <v>5052646060</v>
      </c>
      <c r="D303" s="19" t="s">
        <v>13</v>
      </c>
      <c r="E303" s="19" t="str">
        <f>IFERROR(VLOOKUP(D303,Tanımlar!C:D,2,0),"- - -")</f>
        <v>PERAKENDE</v>
      </c>
      <c r="F303" s="28">
        <v>600757</v>
      </c>
      <c r="G303" s="28" t="str">
        <f>IFERROR(VLOOKUP(F303,'Personel Bilgi'!A:B,2,0),"- - - ")</f>
        <v>ENES TASPINAR</v>
      </c>
      <c r="H303" s="28" t="str">
        <f>IFERROR(VLOOKUP(F303,'Personel Bilgi'!A:D,3,0),"- - -")</f>
        <v>ISIK BUGRA OZDEMIR</v>
      </c>
      <c r="I303" s="28" t="str">
        <f>IFERROR(VLOOKUP(F303,'Personel Bilgi'!A:D,4,0),"- - -")</f>
        <v>ANKARA</v>
      </c>
      <c r="J303" s="28" t="str">
        <f>IFERROR(VLOOKUP(F303,'Personel Bilgi'!A:E,5,0),"- - -")</f>
        <v>MÜŞTERİ TEMSİLCİSİ</v>
      </c>
      <c r="K303" s="22" t="s">
        <v>73</v>
      </c>
      <c r="L303" s="19" t="s">
        <v>96</v>
      </c>
      <c r="M303" s="27" t="s">
        <v>30</v>
      </c>
      <c r="N303" s="36">
        <v>45960</v>
      </c>
      <c r="O303" s="36">
        <v>46014</v>
      </c>
      <c r="P303" s="21" t="s">
        <v>81</v>
      </c>
      <c r="Q303" s="21" t="s">
        <v>725</v>
      </c>
      <c r="R303" s="19" t="s">
        <v>86</v>
      </c>
      <c r="S303" s="21" t="s">
        <v>93</v>
      </c>
      <c r="T303" s="21" t="s">
        <v>95</v>
      </c>
      <c r="U303" s="21" t="s">
        <v>735</v>
      </c>
      <c r="V303" s="21" t="s">
        <v>736</v>
      </c>
      <c r="W303" s="28">
        <v>110300</v>
      </c>
      <c r="X303" s="19" t="str">
        <f>IFERROR(VLOOKUP(W303,'Personel Bilgi'!A:B,2,0),"---")</f>
        <v>SEVCA BULUT</v>
      </c>
      <c r="Y303" s="19" t="str">
        <f>IFERROR(VLOOKUP(X303,'Personel Bilgi'!B:C,2,0),"---")</f>
        <v>SEVCA BULUT</v>
      </c>
      <c r="Z303" s="22" t="s">
        <v>95</v>
      </c>
      <c r="AA303" s="22" t="s">
        <v>617</v>
      </c>
      <c r="AB303" s="22" t="s">
        <v>73</v>
      </c>
      <c r="AC303" s="19" t="s">
        <v>96</v>
      </c>
      <c r="AD303" s="27" t="s">
        <v>30</v>
      </c>
    </row>
    <row r="304" spans="1:31" x14ac:dyDescent="0.25">
      <c r="A304" s="19" t="s">
        <v>11</v>
      </c>
      <c r="B304" s="19" t="s">
        <v>1033</v>
      </c>
      <c r="C304" s="28">
        <v>5077971938</v>
      </c>
      <c r="D304" s="19" t="s">
        <v>13</v>
      </c>
      <c r="E304" s="19" t="str">
        <f>IFERROR(VLOOKUP(D304,Tanımlar!C:D,2,0),"- - -")</f>
        <v>PERAKENDE</v>
      </c>
      <c r="F304" s="28">
        <v>111259</v>
      </c>
      <c r="G304" s="28" t="str">
        <f>IFERROR(VLOOKUP(F304,'Personel Bilgi'!A:B,2,0),"- - - ")</f>
        <v>DIYAR SUR</v>
      </c>
      <c r="H304" s="28" t="str">
        <f>IFERROR(VLOOKUP(F304,'Personel Bilgi'!A:D,3,0),"- - -")</f>
        <v>DILAN ORNEK</v>
      </c>
      <c r="I304" s="28" t="str">
        <f>IFERROR(VLOOKUP(F304,'Personel Bilgi'!A:D,4,0),"- - -")</f>
        <v>KARS</v>
      </c>
      <c r="J304" s="28" t="str">
        <f>IFERROR(VLOOKUP(F304,'Personel Bilgi'!A:E,5,0),"- - -")</f>
        <v>MÜŞTERİ TEMSİLCİSİ</v>
      </c>
      <c r="K304" s="22" t="s">
        <v>65</v>
      </c>
      <c r="L304" s="21" t="s">
        <v>41</v>
      </c>
      <c r="M304" s="21" t="s">
        <v>44</v>
      </c>
      <c r="N304" s="36">
        <v>46007</v>
      </c>
      <c r="O304" s="36">
        <v>46014</v>
      </c>
      <c r="P304" s="21" t="s">
        <v>81</v>
      </c>
      <c r="Q304" s="37" t="s">
        <v>735</v>
      </c>
      <c r="R304" s="19" t="s">
        <v>86</v>
      </c>
      <c r="S304" s="21" t="s">
        <v>92</v>
      </c>
      <c r="T304" s="21" t="s">
        <v>95</v>
      </c>
      <c r="U304" s="21">
        <v>56</v>
      </c>
      <c r="V304" s="21" t="s">
        <v>736</v>
      </c>
      <c r="W304" s="28">
        <v>600598</v>
      </c>
      <c r="X304" s="19" t="str">
        <f>IFERROR(VLOOKUP(W304,'Personel Bilgi'!A:B,2,0),"---")</f>
        <v>ALI ATALAY SIRIN</v>
      </c>
      <c r="Y304" s="19" t="str">
        <f>IFERROR(VLOOKUP(X304,'Personel Bilgi'!B:C,2,0),"---")</f>
        <v>FERHAT DEMIR</v>
      </c>
      <c r="Z304" s="22" t="s">
        <v>95</v>
      </c>
      <c r="AA304" s="22" t="s">
        <v>617</v>
      </c>
      <c r="AB304" s="22" t="s">
        <v>65</v>
      </c>
      <c r="AC304" s="21" t="s">
        <v>41</v>
      </c>
      <c r="AD304" s="21" t="s">
        <v>44</v>
      </c>
    </row>
    <row r="305" spans="1:30" x14ac:dyDescent="0.25">
      <c r="A305" s="19" t="s">
        <v>11</v>
      </c>
      <c r="B305" s="19" t="s">
        <v>1034</v>
      </c>
      <c r="C305" s="28">
        <v>5076502555</v>
      </c>
      <c r="D305" s="19" t="s">
        <v>13</v>
      </c>
      <c r="E305" s="19" t="str">
        <f>IFERROR(VLOOKUP(D305,Tanımlar!C:D,2,0),"- - -")</f>
        <v>PERAKENDE</v>
      </c>
      <c r="F305" s="28">
        <v>600837</v>
      </c>
      <c r="G305" s="28" t="str">
        <f>IFERROR(VLOOKUP(F305,'Personel Bilgi'!A:B,2,0),"- - - ")</f>
        <v>DOGAN KORKMAZ</v>
      </c>
      <c r="H305" s="28" t="str">
        <f>IFERROR(VLOOKUP(F305,'Personel Bilgi'!A:D,3,0),"- - -")</f>
        <v>KEMAL MUFTUOGLU</v>
      </c>
      <c r="I305" s="28" t="str">
        <f>IFERROR(VLOOKUP(F305,'Personel Bilgi'!A:D,4,0),"- - -")</f>
        <v>ANKARA</v>
      </c>
      <c r="J305" s="28" t="str">
        <f>IFERROR(VLOOKUP(F305,'Personel Bilgi'!A:E,5,0),"- - -")</f>
        <v>MÜŞTERİ TEMSİLCİSİ</v>
      </c>
      <c r="K305" s="22" t="s">
        <v>73</v>
      </c>
      <c r="L305" s="19" t="s">
        <v>96</v>
      </c>
      <c r="M305" s="27" t="s">
        <v>30</v>
      </c>
      <c r="N305" s="36">
        <v>46002</v>
      </c>
      <c r="O305" s="36">
        <v>46014</v>
      </c>
      <c r="P305" s="21" t="s">
        <v>81</v>
      </c>
      <c r="Q305" s="21" t="s">
        <v>725</v>
      </c>
      <c r="R305" s="19" t="s">
        <v>86</v>
      </c>
      <c r="S305" s="21" t="s">
        <v>93</v>
      </c>
      <c r="T305" s="21" t="s">
        <v>95</v>
      </c>
      <c r="U305" s="21" t="s">
        <v>735</v>
      </c>
      <c r="V305" s="21" t="s">
        <v>736</v>
      </c>
      <c r="W305" s="28">
        <v>210366</v>
      </c>
      <c r="X305" s="19" t="str">
        <f>IFERROR(VLOOKUP(W305,'Personel Bilgi'!A:B,2,0),"---")</f>
        <v>CAGLA OZKAYA</v>
      </c>
      <c r="Y305" s="19" t="str">
        <f>IFERROR(VLOOKUP(W305,'Personel Bilgi'!A:C,3,0),"---")</f>
        <v>DILAN ORNEK</v>
      </c>
      <c r="Z305" s="22" t="s">
        <v>95</v>
      </c>
      <c r="AA305" s="22" t="s">
        <v>617</v>
      </c>
      <c r="AB305" s="22" t="s">
        <v>73</v>
      </c>
      <c r="AC305" s="21" t="s">
        <v>97</v>
      </c>
      <c r="AD305" s="21" t="s">
        <v>734</v>
      </c>
    </row>
    <row r="306" spans="1:30" x14ac:dyDescent="0.25">
      <c r="A306" s="19" t="s">
        <v>11</v>
      </c>
      <c r="B306" s="19" t="s">
        <v>1035</v>
      </c>
      <c r="C306" s="28">
        <v>5531891170</v>
      </c>
      <c r="D306" s="19" t="s">
        <v>13</v>
      </c>
      <c r="E306" s="19" t="str">
        <f>IFERROR(VLOOKUP(D306,Tanımlar!C:D,2,0),"- - -")</f>
        <v>PERAKENDE</v>
      </c>
      <c r="F306" s="28">
        <v>600647</v>
      </c>
      <c r="G306" s="28" t="str">
        <f>IFERROR(VLOOKUP(F306,'Personel Bilgi'!A:B,2,0),"- - - ")</f>
        <v>EFKAN TAS</v>
      </c>
      <c r="H306" s="28" t="str">
        <f>IFERROR(VLOOKUP(F306,'Personel Bilgi'!A:D,3,0),"- - -")</f>
        <v>FERHAT DEMIR</v>
      </c>
      <c r="I306" s="28" t="str">
        <f>IFERROR(VLOOKUP(F306,'Personel Bilgi'!A:D,4,0),"- - -")</f>
        <v>ANKARA</v>
      </c>
      <c r="J306" s="28" t="str">
        <f>IFERROR(VLOOKUP(F306,'Personel Bilgi'!A:E,5,0),"- - -")</f>
        <v>MÜŞTERİ TEMSİLCİSİ</v>
      </c>
      <c r="K306" s="22" t="s">
        <v>72</v>
      </c>
      <c r="L306" s="19" t="s">
        <v>96</v>
      </c>
      <c r="M306" s="21" t="s">
        <v>32</v>
      </c>
      <c r="N306" s="36">
        <v>46006</v>
      </c>
      <c r="O306" s="36">
        <v>46014</v>
      </c>
      <c r="P306" s="19" t="s">
        <v>79</v>
      </c>
      <c r="Q306" s="37" t="s">
        <v>735</v>
      </c>
      <c r="R306" s="19" t="s">
        <v>86</v>
      </c>
      <c r="S306" s="21" t="s">
        <v>92</v>
      </c>
      <c r="T306" s="21" t="s">
        <v>94</v>
      </c>
      <c r="U306" s="21">
        <v>0</v>
      </c>
      <c r="V306" s="21" t="s">
        <v>736</v>
      </c>
      <c r="W306" s="28">
        <v>111217</v>
      </c>
      <c r="X306" s="19" t="str">
        <f>IFERROR(VLOOKUP(W306,'Personel Bilgi'!A:B,2,0),"---")</f>
        <v>BERAT SARIDAG</v>
      </c>
      <c r="Y306" s="19" t="str">
        <f>IFERROR(VLOOKUP(W306,'Personel Bilgi'!A:C,3,0),"---")</f>
        <v>KURTHAN FERDI CIHANTIMUR</v>
      </c>
      <c r="Z306" s="22" t="s">
        <v>95</v>
      </c>
      <c r="AA306" s="22" t="s">
        <v>617</v>
      </c>
      <c r="AB306" s="22" t="s">
        <v>72</v>
      </c>
      <c r="AC306" s="19" t="s">
        <v>96</v>
      </c>
      <c r="AD306" s="21" t="s">
        <v>32</v>
      </c>
    </row>
    <row r="307" spans="1:30" x14ac:dyDescent="0.25">
      <c r="A307" s="19" t="s">
        <v>11</v>
      </c>
      <c r="B307" s="19" t="s">
        <v>1036</v>
      </c>
      <c r="C307" s="28">
        <v>5459463356</v>
      </c>
      <c r="D307" s="19" t="s">
        <v>13</v>
      </c>
      <c r="E307" s="19" t="str">
        <f>IFERROR(VLOOKUP(D307,Tanımlar!C:D,2,0),"- - -")</f>
        <v>PERAKENDE</v>
      </c>
      <c r="F307" s="28">
        <v>600618</v>
      </c>
      <c r="G307" s="28" t="str">
        <f>IFERROR(VLOOKUP(F307,'Personel Bilgi'!A:B,2,0),"- - - ")</f>
        <v>ENES ALI SATIR</v>
      </c>
      <c r="H307" s="28" t="str">
        <f>IFERROR(VLOOKUP(F307,'Personel Bilgi'!A:D,3,0),"- - -")</f>
        <v>FERHAT DEMIR</v>
      </c>
      <c r="I307" s="28" t="str">
        <f>IFERROR(VLOOKUP(F307,'Personel Bilgi'!A:D,4,0),"- - -")</f>
        <v>ANKARA</v>
      </c>
      <c r="J307" s="28" t="str">
        <f>IFERROR(VLOOKUP(F307,'Personel Bilgi'!A:E,5,0),"- - -")</f>
        <v>MÜŞTERİ TEMSİLCİSİ</v>
      </c>
      <c r="K307" s="22" t="s">
        <v>65</v>
      </c>
      <c r="L307" s="22" t="s">
        <v>97</v>
      </c>
      <c r="M307" s="22" t="s">
        <v>734</v>
      </c>
      <c r="N307" s="36">
        <v>46009</v>
      </c>
      <c r="O307" s="36">
        <v>46014</v>
      </c>
      <c r="P307" s="21" t="s">
        <v>1145</v>
      </c>
      <c r="Q307" s="37" t="s">
        <v>735</v>
      </c>
      <c r="R307" s="19" t="s">
        <v>86</v>
      </c>
      <c r="S307" s="21" t="s">
        <v>92</v>
      </c>
      <c r="T307" s="21" t="s">
        <v>94</v>
      </c>
      <c r="U307" s="21">
        <v>0</v>
      </c>
      <c r="V307" s="21" t="s">
        <v>736</v>
      </c>
      <c r="W307" s="28">
        <v>600345</v>
      </c>
      <c r="X307" s="19" t="str">
        <f>IFERROR(VLOOKUP(W307,'Personel Bilgi'!A:B,2,0),"---")</f>
        <v>FERHAT DEMIR</v>
      </c>
      <c r="Y307" s="19" t="str">
        <f>IFERROR(VLOOKUP(W307,'Personel Bilgi'!A:C,3,0),"---")</f>
        <v>FERHAT DEMIR</v>
      </c>
      <c r="Z307" s="22" t="s">
        <v>95</v>
      </c>
      <c r="AA307" s="22" t="s">
        <v>617</v>
      </c>
      <c r="AB307" s="22" t="s">
        <v>65</v>
      </c>
      <c r="AC307" s="22" t="s">
        <v>97</v>
      </c>
      <c r="AD307" s="22" t="s">
        <v>734</v>
      </c>
    </row>
    <row r="308" spans="1:30" x14ac:dyDescent="0.25">
      <c r="A308" s="19" t="s">
        <v>11</v>
      </c>
      <c r="B308" s="19" t="s">
        <v>1037</v>
      </c>
      <c r="C308" s="28">
        <v>5525781148</v>
      </c>
      <c r="D308" s="19" t="s">
        <v>13</v>
      </c>
      <c r="E308" s="19" t="str">
        <f>IFERROR(VLOOKUP(D308,Tanımlar!C:D,2,0),"- - -")</f>
        <v>PERAKENDE</v>
      </c>
      <c r="F308" s="28">
        <v>600807</v>
      </c>
      <c r="G308" s="28" t="str">
        <f>IFERROR(VLOOKUP(F308,'Personel Bilgi'!A:B,2,0),"- - - ")</f>
        <v>SEVVALSU ARSLAN</v>
      </c>
      <c r="H308" s="28" t="str">
        <f>IFERROR(VLOOKUP(F308,'Personel Bilgi'!A:D,3,0),"- - -")</f>
        <v>ISIK BUGRA OZDEMIR</v>
      </c>
      <c r="I308" s="28" t="str">
        <f>IFERROR(VLOOKUP(F308,'Personel Bilgi'!A:D,4,0),"- - -")</f>
        <v>ANKARA</v>
      </c>
      <c r="J308" s="28" t="str">
        <f>IFERROR(VLOOKUP(F308,'Personel Bilgi'!A:E,5,0),"- - -")</f>
        <v>MÜŞTERİ TEMSİLCİSİ</v>
      </c>
      <c r="K308" s="22" t="s">
        <v>73</v>
      </c>
      <c r="L308" s="21" t="s">
        <v>41</v>
      </c>
      <c r="M308" s="21" t="s">
        <v>44</v>
      </c>
      <c r="N308" s="36">
        <v>46009</v>
      </c>
      <c r="O308" s="36">
        <v>46014</v>
      </c>
      <c r="P308" s="21" t="s">
        <v>81</v>
      </c>
      <c r="Q308" s="21" t="s">
        <v>725</v>
      </c>
      <c r="R308" s="19" t="s">
        <v>86</v>
      </c>
      <c r="S308" s="21" t="s">
        <v>93</v>
      </c>
      <c r="T308" s="21" t="s">
        <v>95</v>
      </c>
      <c r="U308" s="21" t="s">
        <v>735</v>
      </c>
      <c r="V308" s="21" t="s">
        <v>736</v>
      </c>
      <c r="W308" s="28">
        <v>110825</v>
      </c>
      <c r="X308" s="19" t="str">
        <f>IFERROR(VLOOKUP(W308,'Personel Bilgi'!A:B,2,0),"---")</f>
        <v>UMUT YILDIRIM</v>
      </c>
      <c r="Y308" s="19" t="str">
        <f>IFERROR(VLOOKUP(W308,'Personel Bilgi'!A:C,3,0),"---")</f>
        <v>SEVCAN BULUT</v>
      </c>
      <c r="Z308" s="22" t="s">
        <v>94</v>
      </c>
      <c r="AA308" s="22" t="s">
        <v>616</v>
      </c>
      <c r="AB308" s="22" t="s">
        <v>73</v>
      </c>
      <c r="AC308" s="21" t="s">
        <v>41</v>
      </c>
      <c r="AD308" s="21" t="s">
        <v>44</v>
      </c>
    </row>
    <row r="309" spans="1:30" x14ac:dyDescent="0.25">
      <c r="A309" s="19" t="s">
        <v>11</v>
      </c>
      <c r="B309" s="19" t="s">
        <v>1038</v>
      </c>
      <c r="C309" s="28">
        <v>5075556183</v>
      </c>
      <c r="D309" s="19" t="s">
        <v>13</v>
      </c>
      <c r="E309" s="19" t="str">
        <f>IFERROR(VLOOKUP(D309,Tanımlar!C:D,2,0),"- - -")</f>
        <v>PERAKENDE</v>
      </c>
      <c r="F309" s="28">
        <v>600765</v>
      </c>
      <c r="G309" s="28" t="str">
        <f>IFERROR(VLOOKUP(F309,'Personel Bilgi'!A:B,2,0),"- - - ")</f>
        <v>AYSEL SILA GENC</v>
      </c>
      <c r="H309" s="28" t="str">
        <f>IFERROR(VLOOKUP(F309,'Personel Bilgi'!A:D,3,0),"- - -")</f>
        <v>ISIK BUGRA OZDEMIR</v>
      </c>
      <c r="I309" s="28" t="str">
        <f>IFERROR(VLOOKUP(F309,'Personel Bilgi'!A:D,4,0),"- - -")</f>
        <v>ANKARA</v>
      </c>
      <c r="J309" s="28" t="str">
        <f>IFERROR(VLOOKUP(F309,'Personel Bilgi'!A:E,5,0),"- - -")</f>
        <v>MÜŞTERİ TEMSİLCİSİ</v>
      </c>
      <c r="K309" s="22" t="s">
        <v>73</v>
      </c>
      <c r="L309" s="19" t="s">
        <v>96</v>
      </c>
      <c r="M309" s="27" t="s">
        <v>30</v>
      </c>
      <c r="N309" s="36">
        <v>45891</v>
      </c>
      <c r="O309" s="36">
        <v>46014</v>
      </c>
      <c r="P309" s="21" t="s">
        <v>81</v>
      </c>
      <c r="Q309" s="21" t="s">
        <v>725</v>
      </c>
      <c r="R309" s="19" t="s">
        <v>86</v>
      </c>
      <c r="S309" s="21" t="s">
        <v>93</v>
      </c>
      <c r="T309" s="21" t="s">
        <v>95</v>
      </c>
      <c r="U309" s="21" t="s">
        <v>735</v>
      </c>
      <c r="V309" s="21" t="s">
        <v>736</v>
      </c>
      <c r="W309" s="28">
        <v>600410</v>
      </c>
      <c r="X309" s="19" t="str">
        <f>IFERROR(VLOOKUP(W309,'Personel Bilgi'!A:B,2,0),"---")</f>
        <v>SERIFE DOGAN</v>
      </c>
      <c r="Y309" s="19" t="str">
        <f>IFERROR(VLOOKUP(W309,'Personel Bilgi'!A:C,3,0),"---")</f>
        <v>BUSRA ONDER</v>
      </c>
      <c r="Z309" s="22" t="s">
        <v>95</v>
      </c>
      <c r="AA309" s="22" t="s">
        <v>617</v>
      </c>
      <c r="AB309" s="22" t="s">
        <v>73</v>
      </c>
      <c r="AC309" s="19" t="s">
        <v>96</v>
      </c>
      <c r="AD309" s="27" t="s">
        <v>30</v>
      </c>
    </row>
    <row r="310" spans="1:30" x14ac:dyDescent="0.25">
      <c r="A310" s="19" t="s">
        <v>11</v>
      </c>
      <c r="B310" s="20" t="s">
        <v>1039</v>
      </c>
      <c r="C310" s="28">
        <v>5323335737</v>
      </c>
      <c r="D310" s="19" t="s">
        <v>13</v>
      </c>
      <c r="E310" s="19" t="str">
        <f>IFERROR(VLOOKUP(D310,Tanımlar!C:D,2,0),"- - -")</f>
        <v>PERAKENDE</v>
      </c>
      <c r="F310" s="28">
        <v>600473</v>
      </c>
      <c r="G310" s="28" t="str">
        <f>IFERROR(VLOOKUP(F310,'Personel Bilgi'!A:B,2,0),"- - - ")</f>
        <v>HALIME KAYA</v>
      </c>
      <c r="H310" s="28" t="str">
        <f>IFERROR(VLOOKUP(F310,'Personel Bilgi'!A:D,3,0),"- - -")</f>
        <v>FERHAT DEMIR</v>
      </c>
      <c r="I310" s="28" t="str">
        <f>IFERROR(VLOOKUP(F310,'Personel Bilgi'!A:D,4,0),"- - -")</f>
        <v>ANKARA</v>
      </c>
      <c r="J310" s="28" t="str">
        <f>IFERROR(VLOOKUP(F310,'Personel Bilgi'!A:E,5,0),"- - -")</f>
        <v>MÜŞTERİ TEMSİLCİSİ</v>
      </c>
      <c r="K310" s="22" t="s">
        <v>65</v>
      </c>
      <c r="L310" s="22" t="s">
        <v>97</v>
      </c>
      <c r="M310" s="27" t="s">
        <v>734</v>
      </c>
      <c r="N310" s="36">
        <v>46010</v>
      </c>
      <c r="O310" s="36">
        <v>46014</v>
      </c>
      <c r="P310" s="21" t="s">
        <v>81</v>
      </c>
      <c r="Q310" s="37" t="s">
        <v>735</v>
      </c>
      <c r="R310" s="19" t="s">
        <v>86</v>
      </c>
      <c r="S310" s="21" t="s">
        <v>92</v>
      </c>
      <c r="T310" s="21" t="s">
        <v>95</v>
      </c>
      <c r="U310" s="21">
        <v>90</v>
      </c>
      <c r="V310" s="21" t="s">
        <v>736</v>
      </c>
      <c r="W310" s="28">
        <v>600726</v>
      </c>
      <c r="X310" s="19" t="str">
        <f>IFERROR(VLOOKUP(W310,'Personel Bilgi'!A:B,2,0),"---")</f>
        <v>MELEK SUDE YANAR</v>
      </c>
      <c r="Y310" s="19" t="str">
        <f>IFERROR(VLOOKUP(W310,'Personel Bilgi'!A:C,3,0),"---")</f>
        <v>ASYA DAG</v>
      </c>
      <c r="Z310" s="22" t="s">
        <v>95</v>
      </c>
      <c r="AA310" s="22" t="s">
        <v>617</v>
      </c>
      <c r="AB310" s="22" t="s">
        <v>65</v>
      </c>
      <c r="AC310" s="22" t="s">
        <v>97</v>
      </c>
      <c r="AD310" s="22" t="s">
        <v>734</v>
      </c>
    </row>
    <row r="311" spans="1:30" x14ac:dyDescent="0.25">
      <c r="A311" s="19" t="s">
        <v>11</v>
      </c>
      <c r="B311" s="20" t="s">
        <v>1039</v>
      </c>
      <c r="C311" s="28">
        <v>5323335737</v>
      </c>
      <c r="D311" s="19" t="s">
        <v>13</v>
      </c>
      <c r="E311" s="19" t="str">
        <f>IFERROR(VLOOKUP(D311,Tanımlar!C:D,2,0),"- - -")</f>
        <v>PERAKENDE</v>
      </c>
      <c r="F311" s="28">
        <v>600726</v>
      </c>
      <c r="G311" s="28" t="str">
        <f>IFERROR(VLOOKUP(F311,'Personel Bilgi'!A:B,2,0),"- - - ")</f>
        <v>MELEK SUDE YANAR</v>
      </c>
      <c r="H311" s="28" t="str">
        <f>IFERROR(VLOOKUP(F311,'Personel Bilgi'!A:D,3,0),"- - -")</f>
        <v>ASYA DAG</v>
      </c>
      <c r="I311" s="28" t="str">
        <f>IFERROR(VLOOKUP(F311,'Personel Bilgi'!A:D,4,0),"- - -")</f>
        <v>ANKARA</v>
      </c>
      <c r="J311" s="28" t="str">
        <f>IFERROR(VLOOKUP(F311,'Personel Bilgi'!A:E,5,0),"- - -")</f>
        <v>MÜŞTERİ TEMSİLCİSİ</v>
      </c>
      <c r="K311" s="22" t="s">
        <v>65</v>
      </c>
      <c r="L311" s="22" t="s">
        <v>97</v>
      </c>
      <c r="M311" s="27" t="s">
        <v>734</v>
      </c>
      <c r="N311" s="36">
        <v>46010</v>
      </c>
      <c r="O311" s="36">
        <v>46014</v>
      </c>
      <c r="P311" s="21" t="s">
        <v>81</v>
      </c>
      <c r="Q311" s="37" t="s">
        <v>735</v>
      </c>
      <c r="R311" s="19" t="s">
        <v>86</v>
      </c>
      <c r="S311" s="21" t="s">
        <v>93</v>
      </c>
      <c r="T311" s="21" t="s">
        <v>95</v>
      </c>
      <c r="U311" s="21" t="s">
        <v>735</v>
      </c>
      <c r="V311" s="21" t="s">
        <v>736</v>
      </c>
      <c r="W311" s="28">
        <v>600726</v>
      </c>
      <c r="X311" s="19" t="str">
        <f>IFERROR(VLOOKUP(W311,'Personel Bilgi'!A:B,2,0),"---")</f>
        <v>MELEK SUDE YANAR</v>
      </c>
      <c r="Y311" s="19" t="str">
        <f>IFERROR(VLOOKUP(W311,'Personel Bilgi'!A:C,3,0),"---")</f>
        <v>ASYA DAG</v>
      </c>
      <c r="Z311" s="22" t="s">
        <v>95</v>
      </c>
      <c r="AA311" s="22" t="s">
        <v>617</v>
      </c>
      <c r="AB311" s="22" t="s">
        <v>65</v>
      </c>
      <c r="AC311" s="22" t="s">
        <v>97</v>
      </c>
      <c r="AD311" s="22" t="s">
        <v>734</v>
      </c>
    </row>
    <row r="312" spans="1:30" x14ac:dyDescent="0.25">
      <c r="A312" s="19" t="s">
        <v>11</v>
      </c>
      <c r="B312" s="19" t="s">
        <v>1040</v>
      </c>
      <c r="C312" s="28">
        <v>5051531131</v>
      </c>
      <c r="D312" s="19" t="s">
        <v>13</v>
      </c>
      <c r="E312" s="19" t="str">
        <f>IFERROR(VLOOKUP(D312,Tanımlar!C:D,2,0),"- - -")</f>
        <v>PERAKENDE</v>
      </c>
      <c r="F312" s="28">
        <v>600775</v>
      </c>
      <c r="G312" s="28" t="str">
        <f>IFERROR(VLOOKUP(F312,'Personel Bilgi'!A:B,2,0),"- - - ")</f>
        <v>NISA NAZ SAHIN</v>
      </c>
      <c r="H312" s="28" t="str">
        <f>IFERROR(VLOOKUP(F312,'Personel Bilgi'!A:D,3,0),"- - -")</f>
        <v>ISIK BUGRA OZDEMIR</v>
      </c>
      <c r="I312" s="28" t="str">
        <f>IFERROR(VLOOKUP(F312,'Personel Bilgi'!A:D,4,0),"- - -")</f>
        <v>ANKARA</v>
      </c>
      <c r="J312" s="28" t="str">
        <f>IFERROR(VLOOKUP(F312,'Personel Bilgi'!A:E,5,0),"- - -")</f>
        <v>MÜŞTERİ TEMSİLCİSİ</v>
      </c>
      <c r="K312" s="22" t="s">
        <v>73</v>
      </c>
      <c r="L312" s="19" t="s">
        <v>96</v>
      </c>
      <c r="M312" s="27" t="s">
        <v>30</v>
      </c>
      <c r="N312" s="36">
        <v>45913</v>
      </c>
      <c r="O312" s="36">
        <v>46015</v>
      </c>
      <c r="P312" s="21" t="s">
        <v>1145</v>
      </c>
      <c r="Q312" s="21" t="s">
        <v>724</v>
      </c>
      <c r="R312" s="19" t="s">
        <v>86</v>
      </c>
      <c r="S312" s="21" t="s">
        <v>93</v>
      </c>
      <c r="T312" s="21" t="s">
        <v>95</v>
      </c>
      <c r="U312" s="21" t="s">
        <v>735</v>
      </c>
      <c r="V312" s="21" t="s">
        <v>736</v>
      </c>
      <c r="W312" s="28">
        <v>600441</v>
      </c>
      <c r="X312" s="19" t="str">
        <f>IFERROR(VLOOKUP(W312,'Personel Bilgi'!A:B,2,0),"---")</f>
        <v>IREM AKTURK</v>
      </c>
      <c r="Y312" s="19" t="str">
        <f>IFERROR(VLOOKUP(W312,'Personel Bilgi'!A:C,3,0),"---")</f>
        <v>BUSRA ONDER</v>
      </c>
      <c r="Z312" s="22" t="s">
        <v>95</v>
      </c>
      <c r="AA312" s="22" t="s">
        <v>617</v>
      </c>
      <c r="AB312" s="22" t="s">
        <v>73</v>
      </c>
      <c r="AC312" s="19" t="s">
        <v>96</v>
      </c>
      <c r="AD312" s="27" t="s">
        <v>30</v>
      </c>
    </row>
    <row r="313" spans="1:30" x14ac:dyDescent="0.25">
      <c r="A313" s="19" t="s">
        <v>11</v>
      </c>
      <c r="B313" s="19" t="s">
        <v>1041</v>
      </c>
      <c r="C313" s="28">
        <v>5322955709</v>
      </c>
      <c r="D313" s="19" t="s">
        <v>12</v>
      </c>
      <c r="E313" s="19" t="str">
        <f>IFERROR(VLOOKUP(D313,Tanımlar!C:D,2,0),"- - -")</f>
        <v>DAĞITIM</v>
      </c>
      <c r="F313" s="28">
        <v>500132</v>
      </c>
      <c r="G313" s="28" t="str">
        <f>IFERROR(VLOOKUP(F313,'Personel Bilgi'!A:B,2,0),"- - - ")</f>
        <v>SONGUL BEKCI</v>
      </c>
      <c r="H313" s="28" t="str">
        <f>IFERROR(VLOOKUP(F313,'Personel Bilgi'!A:D,3,0),"- - -")</f>
        <v>TURGUT AKDAG</v>
      </c>
      <c r="I313" s="28" t="str">
        <f>IFERROR(VLOOKUP(F313,'Personel Bilgi'!A:D,4,0),"- - -")</f>
        <v>ERZURUM</v>
      </c>
      <c r="J313" s="28" t="str">
        <f>IFERROR(VLOOKUP(F313,'Personel Bilgi'!A:E,5,0),"- - -")</f>
        <v>MÜŞTERİ TEMSİLCİSİ</v>
      </c>
      <c r="K313" s="22" t="s">
        <v>50</v>
      </c>
      <c r="L313" s="19" t="s">
        <v>96</v>
      </c>
      <c r="M313" s="27" t="s">
        <v>37</v>
      </c>
      <c r="N313" s="36">
        <v>46010</v>
      </c>
      <c r="O313" s="36">
        <v>46015</v>
      </c>
      <c r="P313" s="21" t="s">
        <v>81</v>
      </c>
      <c r="Q313" s="37" t="s">
        <v>735</v>
      </c>
      <c r="R313" s="19" t="s">
        <v>86</v>
      </c>
      <c r="S313" s="21" t="s">
        <v>93</v>
      </c>
      <c r="T313" s="21" t="s">
        <v>95</v>
      </c>
      <c r="U313" s="21" t="s">
        <v>735</v>
      </c>
      <c r="V313" s="21" t="s">
        <v>736</v>
      </c>
      <c r="W313" s="28">
        <v>111019</v>
      </c>
      <c r="X313" s="19" t="str">
        <f>IFERROR(VLOOKUP(W313,'Personel Bilgi'!A:B,2,0),"---")</f>
        <v>AYSEGUL TEMEL</v>
      </c>
      <c r="Y313" s="19" t="str">
        <f>IFERROR(VLOOKUP(W313,'Personel Bilgi'!A:C,3,0),"---")</f>
        <v>KURTHAN FERDI CIHANTIMUR</v>
      </c>
      <c r="Z313" s="22" t="s">
        <v>95</v>
      </c>
      <c r="AA313" s="22" t="s">
        <v>617</v>
      </c>
      <c r="AB313" s="22" t="s">
        <v>50</v>
      </c>
      <c r="AC313" s="19" t="s">
        <v>96</v>
      </c>
      <c r="AD313" s="27" t="s">
        <v>37</v>
      </c>
    </row>
    <row r="314" spans="1:30" x14ac:dyDescent="0.25">
      <c r="A314" s="19" t="s">
        <v>11</v>
      </c>
      <c r="B314" s="19" t="s">
        <v>1042</v>
      </c>
      <c r="C314" s="28">
        <v>5461014123</v>
      </c>
      <c r="D314" s="19" t="s">
        <v>14</v>
      </c>
      <c r="E314" s="19" t="str">
        <f>IFERROR(VLOOKUP(D314,Tanımlar!C:D,2,0),"- - -")</f>
        <v>DAĞITIM</v>
      </c>
      <c r="F314" s="28">
        <v>111244</v>
      </c>
      <c r="G314" s="28" t="str">
        <f>IFERROR(VLOOKUP(F314,'Personel Bilgi'!A:B,2,0),"- - - ")</f>
        <v>ABDULLAH UMIT OZTURK</v>
      </c>
      <c r="H314" s="28" t="str">
        <f>IFERROR(VLOOKUP(F314,'Personel Bilgi'!A:D,3,0),"- - -")</f>
        <v>SEVCAN BULUT</v>
      </c>
      <c r="I314" s="28" t="str">
        <f>IFERROR(VLOOKUP(F314,'Personel Bilgi'!A:D,4,0),"- - -")</f>
        <v>KARS</v>
      </c>
      <c r="J314" s="28" t="str">
        <f>IFERROR(VLOOKUP(F314,'Personel Bilgi'!A:E,5,0),"- - -")</f>
        <v>MÜŞTERİ TEMSİLCİSİ</v>
      </c>
      <c r="K314" s="22" t="s">
        <v>70</v>
      </c>
      <c r="L314" s="19" t="s">
        <v>96</v>
      </c>
      <c r="M314" s="27" t="s">
        <v>39</v>
      </c>
      <c r="N314" s="36">
        <v>46013</v>
      </c>
      <c r="O314" s="36">
        <v>46015</v>
      </c>
      <c r="P314" s="21" t="s">
        <v>81</v>
      </c>
      <c r="Q314" s="37" t="s">
        <v>735</v>
      </c>
      <c r="R314" s="19" t="s">
        <v>86</v>
      </c>
      <c r="S314" s="21" t="s">
        <v>92</v>
      </c>
      <c r="T314" s="21" t="s">
        <v>95</v>
      </c>
      <c r="U314" s="21">
        <v>88</v>
      </c>
      <c r="V314" s="21" t="s">
        <v>736</v>
      </c>
      <c r="W314" s="28">
        <v>500183</v>
      </c>
      <c r="X314" s="19" t="str">
        <f>IFERROR(VLOOKUP(W314,'Personel Bilgi'!A:B,2,0),"---")</f>
        <v>MERAL GEDIK</v>
      </c>
      <c r="Y314" s="19" t="str">
        <f>IFERROR(VLOOKUP(W314,'Personel Bilgi'!A:C,3,0),"---")</f>
        <v>SAMET KOCABEYOGLU</v>
      </c>
      <c r="Z314" s="22" t="s">
        <v>94</v>
      </c>
      <c r="AA314" s="22" t="s">
        <v>616</v>
      </c>
      <c r="AB314" s="22" t="s">
        <v>70</v>
      </c>
      <c r="AC314" s="19" t="s">
        <v>96</v>
      </c>
      <c r="AD314" s="27" t="s">
        <v>39</v>
      </c>
    </row>
    <row r="315" spans="1:30" x14ac:dyDescent="0.25">
      <c r="A315" s="19" t="s">
        <v>11</v>
      </c>
      <c r="B315" s="20" t="s">
        <v>1043</v>
      </c>
      <c r="C315" s="28">
        <v>5469597965</v>
      </c>
      <c r="D315" s="19" t="s">
        <v>14</v>
      </c>
      <c r="E315" s="19" t="str">
        <f>IFERROR(VLOOKUP(D315,Tanımlar!C:D,2,0),"- - -")</f>
        <v>DAĞITIM</v>
      </c>
      <c r="F315" s="28">
        <v>210452</v>
      </c>
      <c r="G315" s="28" t="str">
        <f>IFERROR(VLOOKUP(F315,'Personel Bilgi'!A:B,2,0),"- - - ")</f>
        <v>BUSE DASDEMIR</v>
      </c>
      <c r="H315" s="28" t="str">
        <f>IFERROR(VLOOKUP(F315,'Personel Bilgi'!A:D,3,0),"- - -")</f>
        <v>ERCUMENT GUNESSU</v>
      </c>
      <c r="I315" s="28" t="str">
        <f>IFERROR(VLOOKUP(F315,'Personel Bilgi'!A:D,4,0),"- - -")</f>
        <v>KARS</v>
      </c>
      <c r="J315" s="28" t="str">
        <f>IFERROR(VLOOKUP(F315,'Personel Bilgi'!A:E,5,0),"- - -")</f>
        <v>MÜŞTERİ TEMSİLCİSİ</v>
      </c>
      <c r="K315" s="22" t="s">
        <v>49</v>
      </c>
      <c r="L315" s="22" t="s">
        <v>96</v>
      </c>
      <c r="M315" s="22" t="s">
        <v>40</v>
      </c>
      <c r="N315" s="36">
        <v>46013</v>
      </c>
      <c r="O315" s="36">
        <v>46015</v>
      </c>
      <c r="P315" s="21" t="s">
        <v>1145</v>
      </c>
      <c r="Q315" s="37" t="s">
        <v>735</v>
      </c>
      <c r="R315" s="19" t="s">
        <v>86</v>
      </c>
      <c r="S315" s="21" t="s">
        <v>92</v>
      </c>
      <c r="T315" s="21" t="s">
        <v>95</v>
      </c>
      <c r="U315" s="21">
        <v>80</v>
      </c>
      <c r="V315" s="21" t="s">
        <v>736</v>
      </c>
      <c r="W315" s="28">
        <v>500145</v>
      </c>
      <c r="X315" s="19" t="str">
        <f>IFERROR(VLOOKUP(W315,'Personel Bilgi'!A:B,2,0),"---")</f>
        <v>BELMA ONAL</v>
      </c>
      <c r="Y315" s="19" t="str">
        <f>IFERROR(VLOOKUP(W315,'Personel Bilgi'!A:C,3,0),"---")</f>
        <v>KURSAD TERCANLI</v>
      </c>
      <c r="Z315" s="22" t="s">
        <v>95</v>
      </c>
      <c r="AA315" s="22" t="s">
        <v>617</v>
      </c>
      <c r="AB315" s="22" t="s">
        <v>49</v>
      </c>
      <c r="AC315" s="22" t="s">
        <v>96</v>
      </c>
      <c r="AD315" s="22" t="s">
        <v>40</v>
      </c>
    </row>
    <row r="316" spans="1:30" x14ac:dyDescent="0.25">
      <c r="A316" s="19" t="s">
        <v>11</v>
      </c>
      <c r="B316" s="20" t="s">
        <v>1043</v>
      </c>
      <c r="C316" s="28">
        <v>5469597965</v>
      </c>
      <c r="D316" s="19" t="s">
        <v>14</v>
      </c>
      <c r="E316" s="19" t="str">
        <f>IFERROR(VLOOKUP(D316,Tanımlar!C:D,2,0),"- - -")</f>
        <v>DAĞITIM</v>
      </c>
      <c r="F316" s="28">
        <v>111176</v>
      </c>
      <c r="G316" s="28" t="str">
        <f>IFERROR(VLOOKUP(F316,'Personel Bilgi'!A:B,2,0),"- - - ")</f>
        <v>KADIR CAKAS</v>
      </c>
      <c r="H316" s="28" t="str">
        <f>IFERROR(VLOOKUP(F316,'Personel Bilgi'!A:D,3,0),"- - -")</f>
        <v>DILAN ORNEK</v>
      </c>
      <c r="I316" s="28" t="str">
        <f>IFERROR(VLOOKUP(F316,'Personel Bilgi'!A:D,4,0),"- - -")</f>
        <v>KARS</v>
      </c>
      <c r="J316" s="28" t="str">
        <f>IFERROR(VLOOKUP(F316,'Personel Bilgi'!A:E,5,0),"- - -")</f>
        <v>MÜŞTERİ TEMSİLCİSİ</v>
      </c>
      <c r="K316" s="22" t="s">
        <v>49</v>
      </c>
      <c r="L316" s="22" t="s">
        <v>96</v>
      </c>
      <c r="M316" s="22" t="s">
        <v>40</v>
      </c>
      <c r="N316" s="36">
        <v>46013</v>
      </c>
      <c r="O316" s="36">
        <v>46015</v>
      </c>
      <c r="P316" s="21" t="s">
        <v>81</v>
      </c>
      <c r="Q316" s="37" t="s">
        <v>735</v>
      </c>
      <c r="R316" s="19" t="s">
        <v>86</v>
      </c>
      <c r="S316" s="21" t="s">
        <v>92</v>
      </c>
      <c r="T316" s="21" t="s">
        <v>95</v>
      </c>
      <c r="U316" s="21">
        <v>100</v>
      </c>
      <c r="V316" s="21" t="s">
        <v>736</v>
      </c>
      <c r="W316" s="28">
        <v>500145</v>
      </c>
      <c r="X316" s="19" t="str">
        <f>IFERROR(VLOOKUP(W316,'Personel Bilgi'!A:B,2,0),"---")</f>
        <v>BELMA ONAL</v>
      </c>
      <c r="Y316" s="19" t="str">
        <f>IFERROR(VLOOKUP(W316,'Personel Bilgi'!A:C,3,0),"---")</f>
        <v>KURSAD TERCANLI</v>
      </c>
      <c r="Z316" s="22" t="s">
        <v>95</v>
      </c>
      <c r="AA316" s="22" t="s">
        <v>617</v>
      </c>
      <c r="AB316" s="22" t="s">
        <v>49</v>
      </c>
      <c r="AC316" s="22" t="s">
        <v>96</v>
      </c>
      <c r="AD316" s="22" t="s">
        <v>40</v>
      </c>
    </row>
    <row r="317" spans="1:30" x14ac:dyDescent="0.25">
      <c r="A317" s="19" t="s">
        <v>11</v>
      </c>
      <c r="B317" s="19" t="s">
        <v>1044</v>
      </c>
      <c r="C317" s="28">
        <v>5308658294</v>
      </c>
      <c r="D317" s="19" t="s">
        <v>14</v>
      </c>
      <c r="E317" s="19" t="str">
        <f>IFERROR(VLOOKUP(D317,Tanımlar!C:D,2,0),"- - -")</f>
        <v>DAĞITIM</v>
      </c>
      <c r="F317" s="28">
        <v>111243</v>
      </c>
      <c r="G317" s="28" t="str">
        <f>IFERROR(VLOOKUP(F317,'Personel Bilgi'!A:B,2,0),"- - - ")</f>
        <v>FATMA SENA SEFEROGLU</v>
      </c>
      <c r="H317" s="28" t="str">
        <f>IFERROR(VLOOKUP(F317,'Personel Bilgi'!A:D,3,0),"- - -")</f>
        <v>SAFAK TOPTAS</v>
      </c>
      <c r="I317" s="28" t="str">
        <f>IFERROR(VLOOKUP(F317,'Personel Bilgi'!A:D,4,0),"- - -")</f>
        <v>KARS</v>
      </c>
      <c r="J317" s="28" t="str">
        <f>IFERROR(VLOOKUP(F317,'Personel Bilgi'!A:E,5,0),"- - -")</f>
        <v>MÜŞTERİ TEMSİLCİSİ</v>
      </c>
      <c r="K317" s="22" t="s">
        <v>54</v>
      </c>
      <c r="L317" s="22" t="s">
        <v>96</v>
      </c>
      <c r="M317" s="22" t="s">
        <v>36</v>
      </c>
      <c r="N317" s="36">
        <v>46013</v>
      </c>
      <c r="O317" s="36">
        <v>46015</v>
      </c>
      <c r="P317" s="21" t="s">
        <v>81</v>
      </c>
      <c r="Q317" s="37" t="s">
        <v>735</v>
      </c>
      <c r="R317" s="19" t="s">
        <v>86</v>
      </c>
      <c r="S317" s="21" t="s">
        <v>92</v>
      </c>
      <c r="T317" s="21" t="s">
        <v>95</v>
      </c>
      <c r="U317" s="21">
        <v>100</v>
      </c>
      <c r="V317" s="21" t="s">
        <v>736</v>
      </c>
      <c r="W317" s="28">
        <v>500109</v>
      </c>
      <c r="X317" s="19" t="str">
        <f>IFERROR(VLOOKUP(W317,'Personel Bilgi'!A:B,2,0),"---")</f>
        <v>MUHAMMET EMIN AKSAKAL</v>
      </c>
      <c r="Y317" s="19" t="str">
        <f>IFERROR(VLOOKUP(W317,'Personel Bilgi'!A:C,3,0),"---")</f>
        <v>METEHAN EMRE SIRMALI</v>
      </c>
      <c r="Z317" s="22" t="s">
        <v>94</v>
      </c>
      <c r="AA317" s="22" t="s">
        <v>615</v>
      </c>
      <c r="AB317" s="22" t="s">
        <v>54</v>
      </c>
      <c r="AC317" s="22" t="s">
        <v>96</v>
      </c>
      <c r="AD317" s="22" t="s">
        <v>36</v>
      </c>
    </row>
    <row r="318" spans="1:30" x14ac:dyDescent="0.25">
      <c r="A318" s="19" t="s">
        <v>11</v>
      </c>
      <c r="B318" s="19" t="s">
        <v>1045</v>
      </c>
      <c r="C318" s="28">
        <v>5304344362</v>
      </c>
      <c r="D318" s="19" t="s">
        <v>14</v>
      </c>
      <c r="E318" s="19" t="str">
        <f>IFERROR(VLOOKUP(D318,Tanımlar!C:D,2,0),"- - -")</f>
        <v>DAĞITIM</v>
      </c>
      <c r="F318" s="28">
        <v>110424</v>
      </c>
      <c r="G318" s="28" t="str">
        <f>IFERROR(VLOOKUP(F318,'Personel Bilgi'!A:B,2,0),"- - - ")</f>
        <v>ONUR POLAT</v>
      </c>
      <c r="H318" s="28" t="str">
        <f>IFERROR(VLOOKUP(F318,'Personel Bilgi'!A:D,3,0),"- - -")</f>
        <v>MUSTAFA OZAYAG</v>
      </c>
      <c r="I318" s="28" t="str">
        <f>IFERROR(VLOOKUP(F318,'Personel Bilgi'!A:D,4,0),"- - -")</f>
        <v>KARS</v>
      </c>
      <c r="J318" s="28" t="str">
        <f>IFERROR(VLOOKUP(F318,'Personel Bilgi'!A:E,5,0),"- - -")</f>
        <v>MÜŞTERİ TEMSİLCİSİ</v>
      </c>
      <c r="K318" s="22" t="s">
        <v>49</v>
      </c>
      <c r="L318" s="22" t="s">
        <v>41</v>
      </c>
      <c r="M318" s="22" t="s">
        <v>42</v>
      </c>
      <c r="N318" s="36">
        <v>46014</v>
      </c>
      <c r="O318" s="36">
        <v>46015</v>
      </c>
      <c r="P318" s="19" t="s">
        <v>79</v>
      </c>
      <c r="Q318" s="37" t="s">
        <v>735</v>
      </c>
      <c r="R318" s="19" t="s">
        <v>86</v>
      </c>
      <c r="S318" s="21" t="s">
        <v>92</v>
      </c>
      <c r="T318" s="21" t="s">
        <v>94</v>
      </c>
      <c r="U318" s="21">
        <v>0</v>
      </c>
      <c r="V318" s="21" t="s">
        <v>736</v>
      </c>
      <c r="W318" s="28">
        <v>111163</v>
      </c>
      <c r="X318" s="19" t="str">
        <f>IFERROR(VLOOKUP(W318,'Personel Bilgi'!A:B,2,0),"---")</f>
        <v>KEZBAN DEMIR</v>
      </c>
      <c r="Y318" s="19" t="str">
        <f>IFERROR(VLOOKUP(W318,'Personel Bilgi'!A:C,3,0),"---")</f>
        <v>YAREN OZAYAG</v>
      </c>
      <c r="Z318" s="22" t="s">
        <v>95</v>
      </c>
      <c r="AA318" s="22" t="s">
        <v>617</v>
      </c>
      <c r="AB318" s="22" t="s">
        <v>49</v>
      </c>
      <c r="AC318" s="22" t="s">
        <v>41</v>
      </c>
      <c r="AD318" s="22" t="s">
        <v>42</v>
      </c>
    </row>
    <row r="319" spans="1:30" x14ac:dyDescent="0.25">
      <c r="A319" s="19" t="s">
        <v>10</v>
      </c>
      <c r="B319" s="19">
        <v>5387842222</v>
      </c>
      <c r="C319" s="19">
        <v>5387842222</v>
      </c>
      <c r="D319" s="19" t="s">
        <v>15</v>
      </c>
      <c r="E319" s="19" t="str">
        <f>IFERROR(VLOOKUP(D319,Tanımlar!C:D,2,0),"- - -")</f>
        <v>PERAKENDE</v>
      </c>
      <c r="F319" s="28">
        <v>600598</v>
      </c>
      <c r="G319" s="28" t="str">
        <f>IFERROR(VLOOKUP(F319,'Personel Bilgi'!A:B,2,0),"- - - ")</f>
        <v>ALI ATALAY SIRIN</v>
      </c>
      <c r="H319" s="28" t="str">
        <f>IFERROR(VLOOKUP(F319,'Personel Bilgi'!A:D,3,0),"- - -")</f>
        <v>FERHAT DEMIR</v>
      </c>
      <c r="I319" s="28" t="str">
        <f>IFERROR(VLOOKUP(F319,'Personel Bilgi'!A:D,4,0),"- - -")</f>
        <v>ANKARA</v>
      </c>
      <c r="J319" s="28" t="str">
        <f>IFERROR(VLOOKUP(F319,'Personel Bilgi'!A:E,5,0),"- - -")</f>
        <v>MÜŞTERİ TEMSİLCİSİ</v>
      </c>
      <c r="K319" s="22" t="s">
        <v>65</v>
      </c>
      <c r="L319" s="22" t="s">
        <v>96</v>
      </c>
      <c r="M319" s="22" t="s">
        <v>28</v>
      </c>
      <c r="N319" s="36">
        <v>45996</v>
      </c>
      <c r="O319" s="36">
        <v>46015</v>
      </c>
      <c r="P319" s="21" t="s">
        <v>1145</v>
      </c>
      <c r="Q319" s="37" t="s">
        <v>735</v>
      </c>
      <c r="R319" s="19" t="s">
        <v>86</v>
      </c>
      <c r="S319" s="21" t="s">
        <v>92</v>
      </c>
      <c r="T319" s="21" t="s">
        <v>95</v>
      </c>
      <c r="U319" s="21">
        <v>58</v>
      </c>
      <c r="V319" s="21" t="s">
        <v>736</v>
      </c>
      <c r="W319" s="28">
        <v>666666</v>
      </c>
      <c r="X319" s="19" t="str">
        <f>IFERROR(VLOOKUP(W319,'Personel Bilgi'!A:B,2,0),"---")</f>
        <v>İÇ BİRİM</v>
      </c>
      <c r="Y319" s="19" t="str">
        <f>IFERROR(VLOOKUP(W319,'Personel Bilgi'!A:C,3,0),"---")</f>
        <v>İÇ BİRİM</v>
      </c>
      <c r="Z319" s="19" t="str">
        <f>IFERROR(VLOOKUP(Y319,'Personel Bilgi'!C:D,2,0),"---")</f>
        <v>İÇ BİRİM</v>
      </c>
      <c r="AA319" s="19" t="str">
        <f>IFERROR(VLOOKUP(Z319,'Personel Bilgi'!D:E,2,0),"---")</f>
        <v>İÇ BİRİM</v>
      </c>
      <c r="AB319" s="22" t="s">
        <v>65</v>
      </c>
      <c r="AC319" s="22" t="s">
        <v>96</v>
      </c>
      <c r="AD319" s="22" t="s">
        <v>28</v>
      </c>
    </row>
    <row r="320" spans="1:30" x14ac:dyDescent="0.25">
      <c r="A320" s="19" t="s">
        <v>11</v>
      </c>
      <c r="B320" s="19" t="s">
        <v>1046</v>
      </c>
      <c r="C320" s="28">
        <v>5010881907</v>
      </c>
      <c r="D320" s="19" t="s">
        <v>14</v>
      </c>
      <c r="E320" s="19" t="str">
        <f>IFERROR(VLOOKUP(D320,Tanımlar!C:D,2,0),"- - -")</f>
        <v>DAĞITIM</v>
      </c>
      <c r="F320" s="28">
        <v>500025</v>
      </c>
      <c r="G320" s="28" t="str">
        <f>IFERROR(VLOOKUP(F320,'Personel Bilgi'!A:B,2,0),"- - - ")</f>
        <v>METEHAN EMRE SIRMALI</v>
      </c>
      <c r="H320" s="28" t="str">
        <f>IFERROR(VLOOKUP(F320,'Personel Bilgi'!A:D,3,0),"- - -")</f>
        <v>METEHAN EMRE SIRMALI</v>
      </c>
      <c r="I320" s="28" t="str">
        <f>IFERROR(VLOOKUP(F320,'Personel Bilgi'!A:D,4,0),"- - -")</f>
        <v>ERZURUM</v>
      </c>
      <c r="J320" s="28" t="str">
        <f>IFERROR(VLOOKUP(F320,'Personel Bilgi'!A:E,5,0),"- - -")</f>
        <v>TAKIM LIDERI</v>
      </c>
      <c r="K320" s="22" t="s">
        <v>50</v>
      </c>
      <c r="L320" s="22" t="s">
        <v>97</v>
      </c>
      <c r="M320" s="22" t="s">
        <v>22</v>
      </c>
      <c r="N320" s="36">
        <v>46013</v>
      </c>
      <c r="O320" s="36">
        <v>46015</v>
      </c>
      <c r="P320" s="21" t="s">
        <v>81</v>
      </c>
      <c r="Q320" s="37" t="s">
        <v>735</v>
      </c>
      <c r="R320" s="19" t="s">
        <v>86</v>
      </c>
      <c r="S320" s="21" t="s">
        <v>93</v>
      </c>
      <c r="T320" s="21" t="s">
        <v>95</v>
      </c>
      <c r="U320" s="21" t="s">
        <v>735</v>
      </c>
      <c r="V320" s="21" t="s">
        <v>736</v>
      </c>
      <c r="W320" s="28">
        <v>500182</v>
      </c>
      <c r="X320" s="19" t="str">
        <f>IFERROR(VLOOKUP(W320,'Personel Bilgi'!A:B,2,0),"---")</f>
        <v>KADIR OKAY BOGACLI</v>
      </c>
      <c r="Y320" s="19" t="str">
        <f>IFERROR(VLOOKUP(W320,'Personel Bilgi'!A:C,3,0),"---")</f>
        <v>TURGUT AKDAG</v>
      </c>
      <c r="Z320" s="22" t="s">
        <v>95</v>
      </c>
      <c r="AA320" s="22" t="s">
        <v>617</v>
      </c>
      <c r="AB320" s="22" t="s">
        <v>50</v>
      </c>
      <c r="AC320" s="22" t="s">
        <v>97</v>
      </c>
      <c r="AD320" s="22" t="s">
        <v>22</v>
      </c>
    </row>
    <row r="321" spans="1:30" x14ac:dyDescent="0.25">
      <c r="A321" s="19" t="s">
        <v>11</v>
      </c>
      <c r="B321" s="19" t="s">
        <v>1047</v>
      </c>
      <c r="C321" s="28">
        <v>5010881907</v>
      </c>
      <c r="D321" s="19" t="s">
        <v>14</v>
      </c>
      <c r="E321" s="19" t="str">
        <f>IFERROR(VLOOKUP(D321,Tanımlar!C:D,2,0),"- - -")</f>
        <v>DAĞITIM</v>
      </c>
      <c r="F321" s="28">
        <v>500036</v>
      </c>
      <c r="G321" s="28" t="str">
        <f>IFERROR(VLOOKUP(F321,'Personel Bilgi'!A:B,2,0),"- - - ")</f>
        <v>SEYDANUR KARADABAG EFE</v>
      </c>
      <c r="H321" s="28" t="str">
        <f>IFERROR(VLOOKUP(F321,'Personel Bilgi'!A:D,3,0),"- - -")</f>
        <v>ERDOGAN DURUK</v>
      </c>
      <c r="I321" s="28" t="str">
        <f>IFERROR(VLOOKUP(F321,'Personel Bilgi'!A:D,4,0),"- - -")</f>
        <v>ERZURUM</v>
      </c>
      <c r="J321" s="28" t="s">
        <v>696</v>
      </c>
      <c r="K321" s="22" t="s">
        <v>50</v>
      </c>
      <c r="L321" s="22" t="s">
        <v>96</v>
      </c>
      <c r="M321" s="22" t="s">
        <v>40</v>
      </c>
      <c r="N321" s="36">
        <v>46014</v>
      </c>
      <c r="O321" s="36">
        <v>46015</v>
      </c>
      <c r="P321" s="21" t="s">
        <v>81</v>
      </c>
      <c r="Q321" s="37" t="s">
        <v>735</v>
      </c>
      <c r="R321" s="19" t="s">
        <v>86</v>
      </c>
      <c r="S321" s="21" t="s">
        <v>93</v>
      </c>
      <c r="T321" s="21" t="s">
        <v>95</v>
      </c>
      <c r="U321" s="21" t="s">
        <v>735</v>
      </c>
      <c r="V321" s="21" t="s">
        <v>736</v>
      </c>
      <c r="W321" s="28">
        <v>500036</v>
      </c>
      <c r="X321" s="19" t="str">
        <f>IFERROR(VLOOKUP(W321,'Personel Bilgi'!A:B,2,0),"---")</f>
        <v>SEYDANUR KARADABAG EFE</v>
      </c>
      <c r="Y321" s="19" t="str">
        <f>IFERROR(VLOOKUP(W321,'Personel Bilgi'!A:C,3,0),"---")</f>
        <v>ERDOGAN DURUK</v>
      </c>
      <c r="Z321" s="22" t="s">
        <v>95</v>
      </c>
      <c r="AA321" s="22" t="s">
        <v>617</v>
      </c>
      <c r="AB321" s="22" t="s">
        <v>50</v>
      </c>
      <c r="AC321" s="22" t="s">
        <v>96</v>
      </c>
      <c r="AD321" s="22" t="s">
        <v>40</v>
      </c>
    </row>
    <row r="322" spans="1:30" x14ac:dyDescent="0.25">
      <c r="A322" s="19" t="s">
        <v>11</v>
      </c>
      <c r="B322" s="19" t="s">
        <v>1048</v>
      </c>
      <c r="C322" s="28">
        <v>5346302034</v>
      </c>
      <c r="D322" s="19" t="s">
        <v>13</v>
      </c>
      <c r="E322" s="19" t="str">
        <f>IFERROR(VLOOKUP(D322,Tanımlar!C:D,2,0),"- - -")</f>
        <v>PERAKENDE</v>
      </c>
      <c r="F322" s="28">
        <v>111272</v>
      </c>
      <c r="G322" s="28" t="str">
        <f>IFERROR(VLOOKUP(F322,'Personel Bilgi'!A:B,2,0),"- - - ")</f>
        <v>RIDVAN GUNES</v>
      </c>
      <c r="H322" s="28" t="str">
        <f>IFERROR(VLOOKUP(F322,'Personel Bilgi'!A:D,3,0),"- - -")</f>
        <v>YAPRAK KARAKOC</v>
      </c>
      <c r="I322" s="28" t="str">
        <f>IFERROR(VLOOKUP(F322,'Personel Bilgi'!A:D,4,0),"- - -")</f>
        <v>KARS</v>
      </c>
      <c r="J322" s="28" t="str">
        <f>IFERROR(VLOOKUP(F322,'Personel Bilgi'!A:E,5,0),"- - -")</f>
        <v>MÜŞTERİ TEMSİLCİSİ</v>
      </c>
      <c r="K322" s="22" t="s">
        <v>65</v>
      </c>
      <c r="L322" s="22" t="s">
        <v>47</v>
      </c>
      <c r="M322" s="21" t="s">
        <v>603</v>
      </c>
      <c r="N322" s="36">
        <v>46004</v>
      </c>
      <c r="O322" s="36">
        <v>46015</v>
      </c>
      <c r="P322" s="21" t="s">
        <v>75</v>
      </c>
      <c r="Q322" s="37" t="s">
        <v>735</v>
      </c>
      <c r="R322" s="19" t="s">
        <v>86</v>
      </c>
      <c r="S322" s="21" t="s">
        <v>92</v>
      </c>
      <c r="T322" s="21" t="s">
        <v>95</v>
      </c>
      <c r="U322" s="21">
        <v>75</v>
      </c>
      <c r="V322" s="21" t="s">
        <v>736</v>
      </c>
      <c r="W322" s="28">
        <v>111272</v>
      </c>
      <c r="X322" s="19" t="str">
        <f>IFERROR(VLOOKUP(W322,'Personel Bilgi'!A:B,2,0),"---")</f>
        <v>RIDVAN GUNES</v>
      </c>
      <c r="Y322" s="19" t="str">
        <f>IFERROR(VLOOKUP(W322,'Personel Bilgi'!A:C,3,0),"---")</f>
        <v>YAPRAK KARAKOC</v>
      </c>
      <c r="Z322" s="22" t="s">
        <v>95</v>
      </c>
      <c r="AA322" s="22" t="s">
        <v>617</v>
      </c>
      <c r="AB322" s="22" t="s">
        <v>65</v>
      </c>
      <c r="AC322" s="22" t="s">
        <v>47</v>
      </c>
      <c r="AD322" s="21" t="s">
        <v>603</v>
      </c>
    </row>
    <row r="323" spans="1:30" x14ac:dyDescent="0.25">
      <c r="A323" s="19" t="s">
        <v>11</v>
      </c>
      <c r="B323" s="19" t="s">
        <v>1049</v>
      </c>
      <c r="C323" s="28">
        <v>5383538511</v>
      </c>
      <c r="D323" s="19" t="s">
        <v>15</v>
      </c>
      <c r="E323" s="19" t="str">
        <f>IFERROR(VLOOKUP(D323,Tanımlar!C:D,2,0),"- - -")</f>
        <v>PERAKENDE</v>
      </c>
      <c r="F323" s="28">
        <v>600611</v>
      </c>
      <c r="G323" s="28" t="str">
        <f>IFERROR(VLOOKUP(F323,'Personel Bilgi'!A:B,2,0),"- - - ")</f>
        <v>ZEYNEP KOC</v>
      </c>
      <c r="H323" s="28" t="str">
        <f>IFERROR(VLOOKUP(F323,'Personel Bilgi'!A:D,3,0),"- - -")</f>
        <v>FERHAT DEMIR</v>
      </c>
      <c r="I323" s="28" t="str">
        <f>IFERROR(VLOOKUP(F323,'Personel Bilgi'!A:D,4,0),"- - -")</f>
        <v>ANKARA</v>
      </c>
      <c r="J323" s="28" t="str">
        <f>IFERROR(VLOOKUP(F323,'Personel Bilgi'!A:E,5,0),"- - -")</f>
        <v>MÜŞTERİ TEMSİLCİSİ</v>
      </c>
      <c r="K323" s="22" t="s">
        <v>65</v>
      </c>
      <c r="L323" s="22" t="s">
        <v>47</v>
      </c>
      <c r="M323" s="21" t="s">
        <v>603</v>
      </c>
      <c r="N323" s="36">
        <v>46009</v>
      </c>
      <c r="O323" s="36">
        <v>46015</v>
      </c>
      <c r="P323" s="21" t="s">
        <v>80</v>
      </c>
      <c r="Q323" s="37" t="s">
        <v>735</v>
      </c>
      <c r="R323" s="19" t="s">
        <v>86</v>
      </c>
      <c r="S323" s="21" t="s">
        <v>92</v>
      </c>
      <c r="T323" s="21" t="s">
        <v>94</v>
      </c>
      <c r="U323" s="21">
        <v>0</v>
      </c>
      <c r="V323" s="21" t="s">
        <v>736</v>
      </c>
      <c r="W323" s="28">
        <v>600611</v>
      </c>
      <c r="X323" s="19" t="str">
        <f>IFERROR(VLOOKUP(W323,'Personel Bilgi'!A:B,2,0),"---")</f>
        <v>ZEYNEP KOC</v>
      </c>
      <c r="Y323" s="19" t="str">
        <f>IFERROR(VLOOKUP(W323,'Personel Bilgi'!A:C,3,0),"---")</f>
        <v>FERHAT DEMIR</v>
      </c>
      <c r="Z323" s="22" t="s">
        <v>95</v>
      </c>
      <c r="AA323" s="22" t="s">
        <v>617</v>
      </c>
      <c r="AB323" s="22" t="s">
        <v>65</v>
      </c>
      <c r="AC323" s="22" t="s">
        <v>47</v>
      </c>
      <c r="AD323" s="21" t="s">
        <v>603</v>
      </c>
    </row>
    <row r="324" spans="1:30" x14ac:dyDescent="0.25">
      <c r="A324" s="19" t="s">
        <v>11</v>
      </c>
      <c r="B324" s="19" t="s">
        <v>1050</v>
      </c>
      <c r="C324" s="28">
        <v>5360116620</v>
      </c>
      <c r="D324" s="19" t="s">
        <v>17</v>
      </c>
      <c r="E324" s="19" t="str">
        <f>IFERROR(VLOOKUP(D324,Tanımlar!C:D,2,0),"- - -")</f>
        <v>PERAKENDE</v>
      </c>
      <c r="F324" s="28">
        <v>111209</v>
      </c>
      <c r="G324" s="28" t="str">
        <f>IFERROR(VLOOKUP(F324,'Personel Bilgi'!A:B,2,0),"- - - ")</f>
        <v>YASEMIN ERDAGI</v>
      </c>
      <c r="H324" s="28" t="str">
        <f>IFERROR(VLOOKUP(F324,'Personel Bilgi'!A:D,3,0),"- - -")</f>
        <v>MUHAMMET AKSU</v>
      </c>
      <c r="I324" s="28" t="str">
        <f>IFERROR(VLOOKUP(F324,'Personel Bilgi'!A:D,4,0),"- - -")</f>
        <v>KARS</v>
      </c>
      <c r="J324" s="28" t="str">
        <f>IFERROR(VLOOKUP(F324,'Personel Bilgi'!A:E,5,0),"- - -")</f>
        <v>MÜŞTERİ TEMSİLCİSİ</v>
      </c>
      <c r="K324" s="22" t="s">
        <v>65</v>
      </c>
      <c r="L324" s="22" t="s">
        <v>41</v>
      </c>
      <c r="M324" s="22" t="s">
        <v>42</v>
      </c>
      <c r="N324" s="36">
        <v>46006</v>
      </c>
      <c r="O324" s="36">
        <v>46015</v>
      </c>
      <c r="P324" s="19" t="s">
        <v>79</v>
      </c>
      <c r="Q324" s="37" t="s">
        <v>735</v>
      </c>
      <c r="R324" s="19" t="s">
        <v>86</v>
      </c>
      <c r="S324" s="21" t="s">
        <v>92</v>
      </c>
      <c r="T324" s="21" t="s">
        <v>94</v>
      </c>
      <c r="U324" s="21">
        <v>0</v>
      </c>
      <c r="V324" s="21" t="s">
        <v>736</v>
      </c>
      <c r="W324" s="28">
        <v>111209</v>
      </c>
      <c r="X324" s="19" t="str">
        <f>IFERROR(VLOOKUP(W324,'Personel Bilgi'!A:B,2,0),"---")</f>
        <v>YASEMIN ERDAGI</v>
      </c>
      <c r="Y324" s="19" t="str">
        <f>IFERROR(VLOOKUP(W324,'Personel Bilgi'!A:C,3,0),"---")</f>
        <v>MUHAMMET AKSU</v>
      </c>
      <c r="Z324" s="22" t="s">
        <v>95</v>
      </c>
      <c r="AA324" s="22" t="s">
        <v>617</v>
      </c>
      <c r="AB324" s="22" t="s">
        <v>65</v>
      </c>
      <c r="AC324" s="22" t="s">
        <v>41</v>
      </c>
      <c r="AD324" s="22" t="s">
        <v>42</v>
      </c>
    </row>
    <row r="325" spans="1:30" x14ac:dyDescent="0.25">
      <c r="A325" s="19" t="s">
        <v>11</v>
      </c>
      <c r="B325" s="19" t="s">
        <v>1051</v>
      </c>
      <c r="C325" s="28">
        <v>5339501821</v>
      </c>
      <c r="D325" s="19" t="s">
        <v>14</v>
      </c>
      <c r="E325" s="19" t="str">
        <f>IFERROR(VLOOKUP(D325,Tanımlar!C:D,2,0),"- - -")</f>
        <v>DAĞITIM</v>
      </c>
      <c r="F325" s="28">
        <v>500098</v>
      </c>
      <c r="G325" s="28" t="str">
        <f>IFERROR(VLOOKUP(F325,'Personel Bilgi'!A:B,2,0),"- - - ")</f>
        <v>GAMZE ASLAN</v>
      </c>
      <c r="H325" s="28" t="str">
        <f>IFERROR(VLOOKUP(F325,'Personel Bilgi'!A:D,3,0),"- - -")</f>
        <v>MEHMET ALI SAVAN</v>
      </c>
      <c r="I325" s="28" t="str">
        <f>IFERROR(VLOOKUP(F325,'Personel Bilgi'!A:D,4,0),"- - -")</f>
        <v>ERZURUM</v>
      </c>
      <c r="J325" s="28" t="str">
        <f>IFERROR(VLOOKUP(F325,'Personel Bilgi'!A:E,5,0),"- - -")</f>
        <v>MÜŞTERİ TEMSİLCİSİ</v>
      </c>
      <c r="K325" s="22" t="s">
        <v>49</v>
      </c>
      <c r="L325" s="21" t="s">
        <v>41</v>
      </c>
      <c r="M325" s="21" t="s">
        <v>44</v>
      </c>
      <c r="N325" s="36">
        <v>46014</v>
      </c>
      <c r="O325" s="36">
        <v>46015</v>
      </c>
      <c r="P325" s="19" t="s">
        <v>79</v>
      </c>
      <c r="Q325" s="37" t="s">
        <v>735</v>
      </c>
      <c r="R325" s="19" t="s">
        <v>86</v>
      </c>
      <c r="S325" s="21" t="s">
        <v>92</v>
      </c>
      <c r="T325" s="21" t="s">
        <v>94</v>
      </c>
      <c r="U325" s="21">
        <v>0</v>
      </c>
      <c r="V325" s="21" t="s">
        <v>736</v>
      </c>
      <c r="W325" s="28">
        <v>500130</v>
      </c>
      <c r="X325" s="19" t="str">
        <f>IFERROR(VLOOKUP(W325,'Personel Bilgi'!A:B,2,0),"---")</f>
        <v>SEVIL IREM DURUK</v>
      </c>
      <c r="Y325" s="19" t="str">
        <f>IFERROR(VLOOKUP(W325,'Personel Bilgi'!A:C,3,0),"---")</f>
        <v>SAMET KOCABEYOGLU</v>
      </c>
      <c r="Z325" s="22" t="s">
        <v>95</v>
      </c>
      <c r="AA325" s="22" t="s">
        <v>617</v>
      </c>
      <c r="AB325" s="22" t="s">
        <v>49</v>
      </c>
      <c r="AC325" s="21" t="s">
        <v>41</v>
      </c>
      <c r="AD325" s="21" t="s">
        <v>44</v>
      </c>
    </row>
    <row r="326" spans="1:30" x14ac:dyDescent="0.25">
      <c r="A326" s="19" t="s">
        <v>11</v>
      </c>
      <c r="B326" s="19" t="s">
        <v>1052</v>
      </c>
      <c r="C326" s="28">
        <v>5067412447</v>
      </c>
      <c r="D326" s="19" t="s">
        <v>14</v>
      </c>
      <c r="E326" s="19" t="str">
        <f>IFERROR(VLOOKUP(D326,Tanımlar!C:D,2,0),"- - -")</f>
        <v>DAĞITIM</v>
      </c>
      <c r="F326" s="28">
        <v>500158</v>
      </c>
      <c r="G326" s="28" t="str">
        <f>IFERROR(VLOOKUP(F326,'Personel Bilgi'!A:B,2,0),"- - - ")</f>
        <v>MEHTAP SONMEZ</v>
      </c>
      <c r="H326" s="28" t="str">
        <f>IFERROR(VLOOKUP(F326,'Personel Bilgi'!A:D,3,0),"- - -")</f>
        <v>KURSAD TERCANLI</v>
      </c>
      <c r="I326" s="28" t="str">
        <f>IFERROR(VLOOKUP(F326,'Personel Bilgi'!A:D,4,0),"- - -")</f>
        <v>ERZURUM</v>
      </c>
      <c r="J326" s="28" t="str">
        <f>IFERROR(VLOOKUP(F326,'Personel Bilgi'!A:E,5,0),"- - -")</f>
        <v>MÜŞTERİ TEMSİLCİSİ</v>
      </c>
      <c r="K326" s="22" t="s">
        <v>49</v>
      </c>
      <c r="L326" s="22" t="s">
        <v>96</v>
      </c>
      <c r="M326" s="22" t="s">
        <v>40</v>
      </c>
      <c r="N326" s="36">
        <v>46014</v>
      </c>
      <c r="O326" s="36">
        <v>46015</v>
      </c>
      <c r="P326" s="21" t="s">
        <v>1145</v>
      </c>
      <c r="Q326" s="37" t="s">
        <v>735</v>
      </c>
      <c r="R326" s="19" t="s">
        <v>86</v>
      </c>
      <c r="S326" s="21" t="s">
        <v>92</v>
      </c>
      <c r="T326" s="21" t="s">
        <v>95</v>
      </c>
      <c r="U326" s="21">
        <v>85</v>
      </c>
      <c r="V326" s="21" t="s">
        <v>736</v>
      </c>
      <c r="W326" s="28">
        <v>111163</v>
      </c>
      <c r="X326" s="19" t="str">
        <f>IFERROR(VLOOKUP(W326,'Personel Bilgi'!A:B,2,0),"---")</f>
        <v>KEZBAN DEMIR</v>
      </c>
      <c r="Y326" s="19" t="str">
        <f>IFERROR(VLOOKUP(W326,'Personel Bilgi'!A:C,3,0),"---")</f>
        <v>YAREN OZAYAG</v>
      </c>
      <c r="Z326" s="22" t="s">
        <v>95</v>
      </c>
      <c r="AA326" s="22" t="s">
        <v>617</v>
      </c>
      <c r="AB326" s="22" t="s">
        <v>49</v>
      </c>
      <c r="AC326" s="22" t="s">
        <v>96</v>
      </c>
      <c r="AD326" s="22" t="s">
        <v>40</v>
      </c>
    </row>
    <row r="327" spans="1:30" x14ac:dyDescent="0.25">
      <c r="A327" s="19" t="s">
        <v>11</v>
      </c>
      <c r="B327" s="19" t="s">
        <v>1053</v>
      </c>
      <c r="C327" s="28">
        <v>5012623594</v>
      </c>
      <c r="D327" s="19" t="s">
        <v>12</v>
      </c>
      <c r="E327" s="19" t="str">
        <f>IFERROR(VLOOKUP(D327,Tanımlar!C:D,2,0),"- - -")</f>
        <v>DAĞITIM</v>
      </c>
      <c r="F327" s="28">
        <v>500073</v>
      </c>
      <c r="G327" s="22" t="s">
        <v>936</v>
      </c>
      <c r="H327" s="28" t="str">
        <f>IFERROR(VLOOKUP(F327,'Personel Bilgi'!A:D,3,0),"- - -")</f>
        <v>MUHAMMED TARIK KUÇUK</v>
      </c>
      <c r="I327" s="28" t="str">
        <f>IFERROR(VLOOKUP(F327,'Personel Bilgi'!A:D,4,0),"- - -")</f>
        <v>ERZURUM</v>
      </c>
      <c r="J327" s="28" t="str">
        <f>IFERROR(VLOOKUP(F327,'Personel Bilgi'!A:E,5,0),"- - -")</f>
        <v>TAKIM LİDERİ</v>
      </c>
      <c r="K327" s="22" t="s">
        <v>49</v>
      </c>
      <c r="L327" s="22" t="s">
        <v>97</v>
      </c>
      <c r="M327" s="27" t="s">
        <v>734</v>
      </c>
      <c r="N327" s="36">
        <v>46014</v>
      </c>
      <c r="O327" s="36">
        <v>46015</v>
      </c>
      <c r="P327" s="21" t="s">
        <v>81</v>
      </c>
      <c r="Q327" s="37" t="s">
        <v>735</v>
      </c>
      <c r="R327" s="19" t="s">
        <v>86</v>
      </c>
      <c r="S327" s="21" t="s">
        <v>93</v>
      </c>
      <c r="T327" s="21" t="s">
        <v>95</v>
      </c>
      <c r="U327" s="21" t="s">
        <v>735</v>
      </c>
      <c r="V327" s="21" t="s">
        <v>736</v>
      </c>
      <c r="W327" s="28">
        <v>500077</v>
      </c>
      <c r="X327" s="19" t="str">
        <f>IFERROR(VLOOKUP(W327,'Personel Bilgi'!A:B,2,0),"---")</f>
        <v>BURCU AYDIN</v>
      </c>
      <c r="Y327" s="19" t="str">
        <f>IFERROR(VLOOKUP(W327,'Personel Bilgi'!A:C,3,0),"---")</f>
        <v>SALTUK BUGRAHAN TAYMUS</v>
      </c>
      <c r="Z327" s="22" t="s">
        <v>95</v>
      </c>
      <c r="AA327" s="22" t="s">
        <v>617</v>
      </c>
      <c r="AB327" s="22" t="s">
        <v>49</v>
      </c>
      <c r="AC327" s="22" t="s">
        <v>97</v>
      </c>
      <c r="AD327" s="27" t="s">
        <v>734</v>
      </c>
    </row>
    <row r="328" spans="1:30" x14ac:dyDescent="0.25">
      <c r="A328" s="19" t="s">
        <v>11</v>
      </c>
      <c r="B328" s="19" t="s">
        <v>1054</v>
      </c>
      <c r="C328" s="28">
        <v>5012623594</v>
      </c>
      <c r="D328" s="19" t="s">
        <v>12</v>
      </c>
      <c r="E328" s="19" t="str">
        <f>IFERROR(VLOOKUP(D328,Tanımlar!C:D,2,0),"- - -")</f>
        <v>DAĞITIM</v>
      </c>
      <c r="F328" s="28">
        <v>500077</v>
      </c>
      <c r="G328" s="28" t="str">
        <f>IFERROR(VLOOKUP(F328,'Personel Bilgi'!A:B,2,0),"- - - ")</f>
        <v>BURCU AYDIN</v>
      </c>
      <c r="H328" s="28" t="str">
        <f>IFERROR(VLOOKUP(F328,'Personel Bilgi'!A:D,3,0),"- - -")</f>
        <v>SALTUK BUGRAHAN TAYMUS</v>
      </c>
      <c r="I328" s="28" t="str">
        <f>IFERROR(VLOOKUP(F328,'Personel Bilgi'!A:D,4,0),"- - -")</f>
        <v>ERZURUM</v>
      </c>
      <c r="J328" s="28" t="str">
        <f>IFERROR(VLOOKUP(F328,'Personel Bilgi'!A:E,5,0),"- - -")</f>
        <v>MÜŞTERİ TEMSİLCİSİ</v>
      </c>
      <c r="K328" s="22" t="s">
        <v>49</v>
      </c>
      <c r="L328" s="22" t="s">
        <v>41</v>
      </c>
      <c r="M328" s="22" t="s">
        <v>42</v>
      </c>
      <c r="N328" s="36">
        <v>46014</v>
      </c>
      <c r="O328" s="36">
        <v>46016</v>
      </c>
      <c r="P328" s="21" t="s">
        <v>1145</v>
      </c>
      <c r="Q328" s="37" t="s">
        <v>735</v>
      </c>
      <c r="R328" s="19" t="s">
        <v>86</v>
      </c>
      <c r="S328" s="21" t="s">
        <v>92</v>
      </c>
      <c r="T328" s="21" t="s">
        <v>95</v>
      </c>
      <c r="U328" s="21">
        <v>49</v>
      </c>
      <c r="V328" s="21" t="s">
        <v>736</v>
      </c>
      <c r="W328" s="28">
        <v>500077</v>
      </c>
      <c r="X328" s="19" t="str">
        <f>IFERROR(VLOOKUP(W328,'Personel Bilgi'!A:B,2,0),"---")</f>
        <v>BURCU AYDIN</v>
      </c>
      <c r="Y328" s="19" t="str">
        <f>IFERROR(VLOOKUP(W328,'Personel Bilgi'!A:C,3,0),"---")</f>
        <v>SALTUK BUGRAHAN TAYMUS</v>
      </c>
      <c r="Z328" s="22" t="s">
        <v>94</v>
      </c>
      <c r="AA328" s="22" t="s">
        <v>616</v>
      </c>
      <c r="AB328" s="22" t="s">
        <v>49</v>
      </c>
      <c r="AC328" s="22" t="s">
        <v>41</v>
      </c>
      <c r="AD328" s="22" t="s">
        <v>42</v>
      </c>
    </row>
    <row r="329" spans="1:30" x14ac:dyDescent="0.25">
      <c r="A329" s="19" t="s">
        <v>11</v>
      </c>
      <c r="B329" s="19" t="s">
        <v>1055</v>
      </c>
      <c r="C329" s="28">
        <v>5364584707</v>
      </c>
      <c r="D329" s="19" t="s">
        <v>12</v>
      </c>
      <c r="E329" s="19" t="str">
        <f>IFERROR(VLOOKUP(D329,Tanımlar!C:D,2,0),"- - -")</f>
        <v>DAĞITIM</v>
      </c>
      <c r="F329" s="28">
        <v>500165</v>
      </c>
      <c r="G329" s="28" t="str">
        <f>IFERROR(VLOOKUP(F329,'Personel Bilgi'!A:B,2,0),"- - - ")</f>
        <v>MUHAMMET DOGDU</v>
      </c>
      <c r="H329" s="28" t="str">
        <f>IFERROR(VLOOKUP(F329,'Personel Bilgi'!A:D,3,0),"- - -")</f>
        <v>SAMET KOCABEYOGLU</v>
      </c>
      <c r="I329" s="28" t="str">
        <f>IFERROR(VLOOKUP(F329,'Personel Bilgi'!A:D,4,0),"- - -")</f>
        <v>ERZURUM</v>
      </c>
      <c r="J329" s="28" t="str">
        <f>IFERROR(VLOOKUP(F329,'Personel Bilgi'!A:E,5,0),"- - -")</f>
        <v>MÜŞTERİ TEMSİLCİSİ</v>
      </c>
      <c r="K329" s="22" t="s">
        <v>50</v>
      </c>
      <c r="L329" s="22" t="s">
        <v>97</v>
      </c>
      <c r="M329" s="22" t="s">
        <v>734</v>
      </c>
      <c r="N329" s="36">
        <v>46014</v>
      </c>
      <c r="O329" s="36">
        <v>46016</v>
      </c>
      <c r="P329" s="21" t="s">
        <v>81</v>
      </c>
      <c r="Q329" s="37" t="s">
        <v>735</v>
      </c>
      <c r="R329" s="19" t="s">
        <v>86</v>
      </c>
      <c r="S329" s="21" t="s">
        <v>92</v>
      </c>
      <c r="T329" s="21" t="s">
        <v>95</v>
      </c>
      <c r="U329" s="21">
        <v>88</v>
      </c>
      <c r="V329" s="21" t="s">
        <v>736</v>
      </c>
      <c r="W329" s="28">
        <v>500024</v>
      </c>
      <c r="X329" s="19" t="str">
        <f>IFERROR(VLOOKUP(W329,'Personel Bilgi'!A:B,2,0),"---")</f>
        <v>MERVE URUK</v>
      </c>
      <c r="Y329" s="19" t="str">
        <f>IFERROR(VLOOKUP(W329,'Personel Bilgi'!A:C,3,0),"---")</f>
        <v>ERDOGAN DURUK</v>
      </c>
      <c r="Z329" s="22" t="s">
        <v>95</v>
      </c>
      <c r="AA329" s="22" t="s">
        <v>617</v>
      </c>
      <c r="AB329" s="22" t="s">
        <v>50</v>
      </c>
      <c r="AC329" s="22" t="s">
        <v>97</v>
      </c>
      <c r="AD329" s="22" t="s">
        <v>734</v>
      </c>
    </row>
    <row r="330" spans="1:30" x14ac:dyDescent="0.25">
      <c r="A330" s="19" t="s">
        <v>11</v>
      </c>
      <c r="B330" s="20" t="s">
        <v>1056</v>
      </c>
      <c r="C330" s="28">
        <v>5336812728</v>
      </c>
      <c r="D330" s="19" t="s">
        <v>14</v>
      </c>
      <c r="E330" s="19" t="str">
        <f>IFERROR(VLOOKUP(D330,Tanımlar!C:D,2,0),"- - -")</f>
        <v>DAĞITIM</v>
      </c>
      <c r="F330" s="28">
        <v>500101</v>
      </c>
      <c r="G330" s="28" t="str">
        <f>IFERROR(VLOOKUP(F330,'Personel Bilgi'!A:B,2,0),"- - - ")</f>
        <v>HATICE KAHVECIOGLU</v>
      </c>
      <c r="H330" s="28" t="str">
        <f>IFERROR(VLOOKUP(F330,'Personel Bilgi'!A:D,3,0),"- - -")</f>
        <v>METEHAN EMRE SIRMALI</v>
      </c>
      <c r="I330" s="28" t="str">
        <f>IFERROR(VLOOKUP(F330,'Personel Bilgi'!A:D,4,0),"- - -")</f>
        <v>ERZURUM</v>
      </c>
      <c r="J330" s="28" t="str">
        <f>IFERROR(VLOOKUP(F330,'Personel Bilgi'!A:E,5,0),"- - -")</f>
        <v>MÜŞTERİ TEMSİLCİSİ</v>
      </c>
      <c r="K330" s="22" t="s">
        <v>59</v>
      </c>
      <c r="L330" s="22" t="s">
        <v>96</v>
      </c>
      <c r="M330" s="22" t="s">
        <v>38</v>
      </c>
      <c r="N330" s="36">
        <v>46013</v>
      </c>
      <c r="O330" s="36">
        <v>46016</v>
      </c>
      <c r="P330" s="21" t="s">
        <v>1145</v>
      </c>
      <c r="Q330" s="37" t="s">
        <v>735</v>
      </c>
      <c r="R330" s="19" t="s">
        <v>86</v>
      </c>
      <c r="S330" s="21" t="s">
        <v>92</v>
      </c>
      <c r="T330" s="21" t="s">
        <v>94</v>
      </c>
      <c r="U330" s="21">
        <v>0</v>
      </c>
      <c r="V330" s="21" t="s">
        <v>736</v>
      </c>
      <c r="W330" s="28">
        <v>500036</v>
      </c>
      <c r="X330" s="19" t="str">
        <f>IFERROR(VLOOKUP(W330,'Personel Bilgi'!A:B,2,0),"---")</f>
        <v>SEYDANUR KARADABAG EFE</v>
      </c>
      <c r="Y330" s="19" t="str">
        <f>IFERROR(VLOOKUP(W330,'Personel Bilgi'!A:C,3,0),"---")</f>
        <v>ERDOGAN DURUK</v>
      </c>
      <c r="Z330" s="22" t="s">
        <v>95</v>
      </c>
      <c r="AA330" s="22" t="s">
        <v>617</v>
      </c>
      <c r="AB330" s="22" t="s">
        <v>59</v>
      </c>
      <c r="AC330" s="22" t="s">
        <v>96</v>
      </c>
      <c r="AD330" s="22" t="s">
        <v>38</v>
      </c>
    </row>
    <row r="331" spans="1:30" x14ac:dyDescent="0.25">
      <c r="A331" s="19" t="s">
        <v>11</v>
      </c>
      <c r="B331" s="20" t="s">
        <v>1056</v>
      </c>
      <c r="C331" s="28">
        <v>5336812728</v>
      </c>
      <c r="D331" s="19" t="s">
        <v>14</v>
      </c>
      <c r="E331" s="19" t="str">
        <f>IFERROR(VLOOKUP(D331,Tanımlar!C:D,2,0),"- - -")</f>
        <v>DAĞITIM</v>
      </c>
      <c r="F331" s="28">
        <v>500077</v>
      </c>
      <c r="G331" s="28" t="str">
        <f>IFERROR(VLOOKUP(F331,'Personel Bilgi'!A:B,2,0),"- - - ")</f>
        <v>BURCU AYDIN</v>
      </c>
      <c r="H331" s="28" t="str">
        <f>IFERROR(VLOOKUP(F331,'Personel Bilgi'!A:D,3,0),"- - -")</f>
        <v>SALTUK BUGRAHAN TAYMUS</v>
      </c>
      <c r="I331" s="28" t="str">
        <f>IFERROR(VLOOKUP(F331,'Personel Bilgi'!A:D,4,0),"- - -")</f>
        <v>ERZURUM</v>
      </c>
      <c r="J331" s="28" t="str">
        <f>IFERROR(VLOOKUP(F331,'Personel Bilgi'!A:E,5,0),"- - -")</f>
        <v>MÜŞTERİ TEMSİLCİSİ</v>
      </c>
      <c r="K331" s="22" t="s">
        <v>59</v>
      </c>
      <c r="L331" s="22" t="s">
        <v>96</v>
      </c>
      <c r="M331" s="22" t="s">
        <v>38</v>
      </c>
      <c r="N331" s="36">
        <v>46013</v>
      </c>
      <c r="O331" s="36">
        <v>46016</v>
      </c>
      <c r="P331" s="21" t="s">
        <v>81</v>
      </c>
      <c r="Q331" s="37" t="s">
        <v>735</v>
      </c>
      <c r="R331" s="19" t="s">
        <v>86</v>
      </c>
      <c r="S331" s="21" t="s">
        <v>92</v>
      </c>
      <c r="T331" s="21" t="s">
        <v>95</v>
      </c>
      <c r="U331" s="21">
        <v>90</v>
      </c>
      <c r="V331" s="21" t="s">
        <v>736</v>
      </c>
      <c r="W331" s="28">
        <v>500036</v>
      </c>
      <c r="X331" s="19" t="str">
        <f>IFERROR(VLOOKUP(W331,'Personel Bilgi'!A:B,2,0),"---")</f>
        <v>SEYDANUR KARADABAG EFE</v>
      </c>
      <c r="Y331" s="19" t="str">
        <f>IFERROR(VLOOKUP(W331,'Personel Bilgi'!A:C,3,0),"---")</f>
        <v>ERDOGAN DURUK</v>
      </c>
      <c r="Z331" s="22" t="s">
        <v>95</v>
      </c>
      <c r="AA331" s="22" t="s">
        <v>617</v>
      </c>
      <c r="AB331" s="22" t="s">
        <v>59</v>
      </c>
      <c r="AC331" s="22" t="s">
        <v>96</v>
      </c>
      <c r="AD331" s="22" t="s">
        <v>38</v>
      </c>
    </row>
    <row r="332" spans="1:30" x14ac:dyDescent="0.25">
      <c r="A332" s="19" t="s">
        <v>11</v>
      </c>
      <c r="B332" s="19" t="s">
        <v>1057</v>
      </c>
      <c r="C332" s="28">
        <v>5312670715</v>
      </c>
      <c r="D332" s="19" t="s">
        <v>14</v>
      </c>
      <c r="E332" s="19" t="str">
        <f>IFERROR(VLOOKUP(D332,Tanımlar!C:D,2,0),"- - -")</f>
        <v>DAĞITIM</v>
      </c>
      <c r="F332" s="28">
        <v>111175</v>
      </c>
      <c r="G332" s="28" t="str">
        <f>IFERROR(VLOOKUP(F332,'Personel Bilgi'!A:B,2,0),"- - - ")</f>
        <v>TOLGA SELIMOGLU</v>
      </c>
      <c r="H332" s="28" t="str">
        <f>IFERROR(VLOOKUP(F332,'Personel Bilgi'!A:D,3,0),"- - -")</f>
        <v>YAPRAK KARAKOC</v>
      </c>
      <c r="I332" s="28" t="str">
        <f>IFERROR(VLOOKUP(F332,'Personel Bilgi'!A:D,4,0),"- - -")</f>
        <v>KARS</v>
      </c>
      <c r="J332" s="28" t="str">
        <f>IFERROR(VLOOKUP(F332,'Personel Bilgi'!A:E,5,0),"- - -")</f>
        <v>MÜŞTERİ TEMSİLCİSİ</v>
      </c>
      <c r="K332" s="22" t="s">
        <v>70</v>
      </c>
      <c r="L332" s="22" t="s">
        <v>96</v>
      </c>
      <c r="M332" s="22" t="s">
        <v>39</v>
      </c>
      <c r="N332" s="36">
        <v>46015</v>
      </c>
      <c r="O332" s="36">
        <v>46016</v>
      </c>
      <c r="P332" s="21" t="s">
        <v>81</v>
      </c>
      <c r="Q332" s="37" t="s">
        <v>735</v>
      </c>
      <c r="R332" s="19" t="s">
        <v>86</v>
      </c>
      <c r="S332" s="21" t="s">
        <v>92</v>
      </c>
      <c r="T332" s="21" t="s">
        <v>95</v>
      </c>
      <c r="U332" s="21">
        <v>100</v>
      </c>
      <c r="V332" s="21" t="s">
        <v>736</v>
      </c>
      <c r="W332" s="28">
        <v>111234</v>
      </c>
      <c r="X332" s="19" t="str">
        <f>IFERROR(VLOOKUP(W332,'Personel Bilgi'!A:B,2,0),"---")</f>
        <v>MIHRIBAN BOGERLER</v>
      </c>
      <c r="Y332" s="19" t="str">
        <f>IFERROR(VLOOKUP(W332,'Personel Bilgi'!A:C,3,0),"---")</f>
        <v>ERCUMENT GUNESSU</v>
      </c>
      <c r="Z332" s="22" t="s">
        <v>95</v>
      </c>
      <c r="AA332" s="22" t="s">
        <v>617</v>
      </c>
      <c r="AB332" s="22" t="s">
        <v>70</v>
      </c>
      <c r="AC332" s="22" t="s">
        <v>96</v>
      </c>
      <c r="AD332" s="22" t="s">
        <v>39</v>
      </c>
    </row>
    <row r="333" spans="1:30" x14ac:dyDescent="0.25">
      <c r="A333" s="19" t="s">
        <v>11</v>
      </c>
      <c r="B333" s="19" t="s">
        <v>1058</v>
      </c>
      <c r="C333" s="28">
        <v>5443358084</v>
      </c>
      <c r="D333" s="19" t="s">
        <v>12</v>
      </c>
      <c r="E333" s="19" t="str">
        <f>IFERROR(VLOOKUP(D333,Tanımlar!C:D,2,0),"- - -")</f>
        <v>DAĞITIM</v>
      </c>
      <c r="F333" s="28">
        <v>500073</v>
      </c>
      <c r="G333" s="22" t="s">
        <v>936</v>
      </c>
      <c r="H333" s="28" t="str">
        <f>IFERROR(VLOOKUP(F333,'Personel Bilgi'!A:D,3,0),"- - -")</f>
        <v>MUHAMMED TARIK KUÇUK</v>
      </c>
      <c r="I333" s="28" t="str">
        <f>IFERROR(VLOOKUP(F333,'Personel Bilgi'!A:D,4,0),"- - -")</f>
        <v>ERZURUM</v>
      </c>
      <c r="J333" s="28" t="str">
        <f>IFERROR(VLOOKUP(F333,'Personel Bilgi'!A:E,5,0),"- - -")</f>
        <v>TAKIM LİDERİ</v>
      </c>
      <c r="K333" s="22" t="s">
        <v>51</v>
      </c>
      <c r="L333" s="22" t="s">
        <v>96</v>
      </c>
      <c r="M333" s="22" t="s">
        <v>39</v>
      </c>
      <c r="N333" s="36">
        <v>46015</v>
      </c>
      <c r="O333" s="36">
        <v>46016</v>
      </c>
      <c r="P333" s="21" t="s">
        <v>81</v>
      </c>
      <c r="Q333" s="37" t="s">
        <v>735</v>
      </c>
      <c r="R333" s="19" t="s">
        <v>86</v>
      </c>
      <c r="S333" s="21" t="s">
        <v>93</v>
      </c>
      <c r="T333" s="21" t="s">
        <v>95</v>
      </c>
      <c r="U333" s="21" t="s">
        <v>735</v>
      </c>
      <c r="V333" s="21" t="s">
        <v>736</v>
      </c>
      <c r="W333" s="28">
        <v>110303</v>
      </c>
      <c r="X333" s="19" t="str">
        <f>IFERROR(VLOOKUP(W333,'Personel Bilgi'!A:B,2,0),"---")</f>
        <v>YAREN OZAYAG</v>
      </c>
      <c r="Y333" s="19" t="str">
        <f>IFERROR(VLOOKUP(W333,'Personel Bilgi'!A:C,3,0),"---")</f>
        <v>YAREN OZAYAG</v>
      </c>
      <c r="Z333" s="22" t="s">
        <v>95</v>
      </c>
      <c r="AA333" s="22" t="s">
        <v>617</v>
      </c>
      <c r="AB333" s="22" t="s">
        <v>51</v>
      </c>
      <c r="AC333" s="22" t="s">
        <v>96</v>
      </c>
      <c r="AD333" s="22" t="s">
        <v>39</v>
      </c>
    </row>
    <row r="334" spans="1:30" x14ac:dyDescent="0.25">
      <c r="A334" s="19" t="s">
        <v>11</v>
      </c>
      <c r="B334" s="19" t="s">
        <v>1059</v>
      </c>
      <c r="C334" s="28">
        <v>5065844036</v>
      </c>
      <c r="D334" s="19" t="s">
        <v>14</v>
      </c>
      <c r="E334" s="19" t="str">
        <f>IFERROR(VLOOKUP(D334,Tanımlar!C:D,2,0),"- - -")</f>
        <v>DAĞITIM</v>
      </c>
      <c r="F334" s="28">
        <v>111111</v>
      </c>
      <c r="G334" s="28" t="str">
        <f>IFERROR(VLOOKUP(F334,'Personel Bilgi'!A:B,2,0),"- - - ")</f>
        <v>BASAK INALPOLAT</v>
      </c>
      <c r="H334" s="28" t="str">
        <f>IFERROR(VLOOKUP(F334,'Personel Bilgi'!A:D,3,0),"- - -")</f>
        <v>YAREN OZAYAG</v>
      </c>
      <c r="I334" s="28" t="str">
        <f>IFERROR(VLOOKUP(F334,'Personel Bilgi'!A:D,4,0),"- - -")</f>
        <v>KARS</v>
      </c>
      <c r="J334" s="28" t="str">
        <f>IFERROR(VLOOKUP(F334,'Personel Bilgi'!A:E,5,0),"- - -")</f>
        <v>MÜŞTERİ TEMSİLCİSİ</v>
      </c>
      <c r="K334" s="22" t="s">
        <v>49</v>
      </c>
      <c r="L334" s="22" t="s">
        <v>47</v>
      </c>
      <c r="M334" s="21" t="s">
        <v>603</v>
      </c>
      <c r="N334" s="36">
        <v>46015</v>
      </c>
      <c r="O334" s="36">
        <v>46016</v>
      </c>
      <c r="P334" s="21" t="s">
        <v>80</v>
      </c>
      <c r="Q334" s="37" t="s">
        <v>735</v>
      </c>
      <c r="R334" s="19" t="s">
        <v>86</v>
      </c>
      <c r="S334" s="21" t="s">
        <v>92</v>
      </c>
      <c r="T334" s="21" t="s">
        <v>95</v>
      </c>
      <c r="U334" s="21">
        <v>100</v>
      </c>
      <c r="V334" s="21" t="s">
        <v>736</v>
      </c>
      <c r="W334" s="28">
        <v>111031</v>
      </c>
      <c r="X334" s="19" t="str">
        <f>IFERROR(VLOOKUP(W334,'Personel Bilgi'!A:B,2,0),"---")</f>
        <v>MUHAMMED EREN KAYA</v>
      </c>
      <c r="Y334" s="19" t="str">
        <f>IFERROR(VLOOKUP(W334,'Personel Bilgi'!A:C,3,0),"---")</f>
        <v>YAREN OZAYAG</v>
      </c>
      <c r="Z334" s="22" t="s">
        <v>95</v>
      </c>
      <c r="AA334" s="22" t="s">
        <v>617</v>
      </c>
      <c r="AB334" s="22" t="s">
        <v>49</v>
      </c>
      <c r="AC334" s="22" t="s">
        <v>47</v>
      </c>
      <c r="AD334" s="21" t="s">
        <v>603</v>
      </c>
    </row>
    <row r="335" spans="1:30" x14ac:dyDescent="0.25">
      <c r="A335" s="19" t="s">
        <v>11</v>
      </c>
      <c r="B335" s="20" t="s">
        <v>1060</v>
      </c>
      <c r="C335" s="28">
        <v>2125504902</v>
      </c>
      <c r="D335" s="19" t="s">
        <v>15</v>
      </c>
      <c r="E335" s="19" t="str">
        <f>IFERROR(VLOOKUP(D335,Tanımlar!C:D,2,0),"- - -")</f>
        <v>PERAKENDE</v>
      </c>
      <c r="F335" s="28">
        <v>111135</v>
      </c>
      <c r="G335" s="28" t="str">
        <f>IFERROR(VLOOKUP(F335,'Personel Bilgi'!A:B,2,0),"- - - ")</f>
        <v>BERIVAN BAYRAMBEY</v>
      </c>
      <c r="H335" s="28" t="str">
        <f>IFERROR(VLOOKUP(F335,'Personel Bilgi'!A:D,3,0),"- - -")</f>
        <v>MUSTAFA OZAYAG</v>
      </c>
      <c r="I335" s="28" t="str">
        <f>IFERROR(VLOOKUP(F335,'Personel Bilgi'!A:D,4,0),"- - -")</f>
        <v>KARS</v>
      </c>
      <c r="J335" s="28" t="str">
        <f>IFERROR(VLOOKUP(H335,'Personel Bilgi'!C:F,3,0),"- - -")</f>
        <v>MÜŞTERİ TEMSİLCİSİ</v>
      </c>
      <c r="K335" s="22" t="s">
        <v>65</v>
      </c>
      <c r="L335" s="21" t="s">
        <v>41</v>
      </c>
      <c r="M335" s="21" t="s">
        <v>44</v>
      </c>
      <c r="N335" s="36">
        <v>46014</v>
      </c>
      <c r="O335" s="36">
        <v>46016</v>
      </c>
      <c r="P335" s="21" t="s">
        <v>81</v>
      </c>
      <c r="Q335" s="37" t="s">
        <v>735</v>
      </c>
      <c r="R335" s="19" t="s">
        <v>86</v>
      </c>
      <c r="S335" s="21" t="s">
        <v>92</v>
      </c>
      <c r="T335" s="21" t="s">
        <v>95</v>
      </c>
      <c r="U335" s="21">
        <v>80</v>
      </c>
      <c r="V335" s="21" t="s">
        <v>736</v>
      </c>
      <c r="W335" s="28">
        <v>111211</v>
      </c>
      <c r="X335" s="19" t="str">
        <f>IFERROR(VLOOKUP(W335,'Personel Bilgi'!A:B,2,0),"---")</f>
        <v>SIBEL TAMCINAR</v>
      </c>
      <c r="Y335" s="19" t="str">
        <f>IFERROR(VLOOKUP(W335,'Personel Bilgi'!A:C,3,0),"---")</f>
        <v>YAPRAK KARAKOC</v>
      </c>
      <c r="Z335" s="22" t="s">
        <v>94</v>
      </c>
      <c r="AA335" s="22" t="s">
        <v>616</v>
      </c>
      <c r="AB335" s="22" t="s">
        <v>65</v>
      </c>
      <c r="AC335" s="22" t="s">
        <v>97</v>
      </c>
      <c r="AD335" s="27" t="s">
        <v>734</v>
      </c>
    </row>
    <row r="336" spans="1:30" x14ac:dyDescent="0.25">
      <c r="A336" s="19" t="s">
        <v>11</v>
      </c>
      <c r="B336" s="20" t="s">
        <v>1060</v>
      </c>
      <c r="C336" s="28">
        <v>2125504902</v>
      </c>
      <c r="D336" s="19" t="s">
        <v>15</v>
      </c>
      <c r="E336" s="19" t="str">
        <f>IFERROR(VLOOKUP(D336,Tanımlar!C:D,2,0),"- - -")</f>
        <v>PERAKENDE</v>
      </c>
      <c r="F336" s="28">
        <v>111211</v>
      </c>
      <c r="G336" s="28" t="str">
        <f>IFERROR(VLOOKUP(F336,'Personel Bilgi'!A:B,2,0),"- - - ")</f>
        <v>SIBEL TAMCINAR</v>
      </c>
      <c r="H336" s="28" t="str">
        <f>IFERROR(VLOOKUP(F336,'Personel Bilgi'!A:D,3,0),"- - -")</f>
        <v>YAPRAK KARAKOC</v>
      </c>
      <c r="I336" s="28" t="str">
        <f>IFERROR(VLOOKUP(F336,'Personel Bilgi'!A:D,4,0),"- - -")</f>
        <v>KARS</v>
      </c>
      <c r="J336" s="28" t="str">
        <f>IFERROR(VLOOKUP(F336,'Personel Bilgi'!A:E,5,0),"- - -")</f>
        <v>MÜŞTERİ TEMSİLCİSİ</v>
      </c>
      <c r="K336" s="22" t="s">
        <v>65</v>
      </c>
      <c r="L336" s="22" t="s">
        <v>97</v>
      </c>
      <c r="M336" s="27" t="s">
        <v>734</v>
      </c>
      <c r="N336" s="36">
        <v>46014</v>
      </c>
      <c r="O336" s="36">
        <v>46016</v>
      </c>
      <c r="P336" s="21" t="s">
        <v>81</v>
      </c>
      <c r="Q336" s="37" t="s">
        <v>735</v>
      </c>
      <c r="R336" s="19" t="s">
        <v>86</v>
      </c>
      <c r="S336" s="21" t="s">
        <v>92</v>
      </c>
      <c r="T336" s="21" t="s">
        <v>94</v>
      </c>
      <c r="U336" s="21">
        <v>0</v>
      </c>
      <c r="V336" s="21" t="s">
        <v>736</v>
      </c>
      <c r="W336" s="28">
        <v>111211</v>
      </c>
      <c r="X336" s="19" t="str">
        <f>IFERROR(VLOOKUP(W336,'Personel Bilgi'!A:B,2,0),"---")</f>
        <v>SIBEL TAMCINAR</v>
      </c>
      <c r="Y336" s="19" t="str">
        <f>IFERROR(VLOOKUP(W336,'Personel Bilgi'!A:C,3,0),"---")</f>
        <v>YAPRAK KARAKOC</v>
      </c>
      <c r="Z336" s="22" t="s">
        <v>94</v>
      </c>
      <c r="AA336" s="22" t="s">
        <v>616</v>
      </c>
      <c r="AB336" s="22" t="s">
        <v>65</v>
      </c>
      <c r="AC336" s="22" t="s">
        <v>97</v>
      </c>
      <c r="AD336" s="27" t="s">
        <v>734</v>
      </c>
    </row>
    <row r="337" spans="1:30" x14ac:dyDescent="0.25">
      <c r="A337" s="19" t="s">
        <v>10</v>
      </c>
      <c r="B337" s="19">
        <v>2505188427</v>
      </c>
      <c r="C337" s="28">
        <v>5356842979</v>
      </c>
      <c r="D337" s="19" t="s">
        <v>15</v>
      </c>
      <c r="E337" s="19" t="str">
        <f>IFERROR(VLOOKUP(D337,Tanımlar!C:D,2,0),"- - -")</f>
        <v>PERAKENDE</v>
      </c>
      <c r="F337" s="28">
        <v>210042</v>
      </c>
      <c r="G337" s="28" t="str">
        <f>IFERROR(VLOOKUP(F337,'Personel Bilgi'!A:B,2,0),"- - - ")</f>
        <v>BILGE KOYUNCU</v>
      </c>
      <c r="H337" s="28" t="str">
        <f>IFERROR(VLOOKUP(F337,'Personel Bilgi'!A:D,3,0),"- - -")</f>
        <v>SEDA SEBU</v>
      </c>
      <c r="I337" s="28" t="str">
        <f>IFERROR(VLOOKUP(F337,'Personel Bilgi'!A:D,4,0),"- - -")</f>
        <v>KARS</v>
      </c>
      <c r="J337" s="28" t="str">
        <f>IFERROR(VLOOKUP(F337,'Personel Bilgi'!A:E,5,0),"- - -")</f>
        <v>MÜŞTERİ TEMSİLCİSİ</v>
      </c>
      <c r="K337" s="22" t="s">
        <v>65</v>
      </c>
      <c r="L337" s="22" t="s">
        <v>97</v>
      </c>
      <c r="M337" s="27" t="s">
        <v>25</v>
      </c>
      <c r="N337" s="36">
        <v>46001</v>
      </c>
      <c r="O337" s="36">
        <v>46016</v>
      </c>
      <c r="P337" s="19" t="s">
        <v>79</v>
      </c>
      <c r="Q337" s="37" t="s">
        <v>735</v>
      </c>
      <c r="R337" s="19" t="s">
        <v>86</v>
      </c>
      <c r="S337" s="21" t="s">
        <v>92</v>
      </c>
      <c r="T337" s="21" t="s">
        <v>94</v>
      </c>
      <c r="U337" s="21">
        <v>0</v>
      </c>
      <c r="V337" s="21" t="s">
        <v>736</v>
      </c>
      <c r="W337" s="49">
        <v>666666</v>
      </c>
      <c r="X337" s="19" t="str">
        <f>IFERROR(VLOOKUP(W337,'Personel Bilgi'!A:B,2,0),"---")</f>
        <v>İÇ BİRİM</v>
      </c>
      <c r="Y337" s="19" t="str">
        <f>IFERROR(VLOOKUP(W337,'Personel Bilgi'!A:C,3,0),"---")</f>
        <v>İÇ BİRİM</v>
      </c>
      <c r="Z337" s="19" t="str">
        <f>IFERROR(VLOOKUP(X337,'Personel Bilgi'!B:D,3,0),"---")</f>
        <v>İÇ BİRİM</v>
      </c>
      <c r="AA337" s="19" t="str">
        <f>IFERROR(VLOOKUP(Y337,'Personel Bilgi'!C:E,3,0),"---")</f>
        <v>İÇ BİRİM</v>
      </c>
      <c r="AB337" s="22" t="s">
        <v>65</v>
      </c>
      <c r="AC337" s="22" t="s">
        <v>97</v>
      </c>
      <c r="AD337" s="27" t="s">
        <v>25</v>
      </c>
    </row>
    <row r="338" spans="1:30" ht="13.5" customHeight="1" x14ac:dyDescent="0.25">
      <c r="A338" s="19" t="s">
        <v>11</v>
      </c>
      <c r="B338" s="19" t="s">
        <v>1061</v>
      </c>
      <c r="C338" s="28">
        <v>5517137902</v>
      </c>
      <c r="D338" s="19" t="s">
        <v>16</v>
      </c>
      <c r="E338" s="19" t="str">
        <f>IFERROR(VLOOKUP(D338,Tanımlar!C:D,2,0),"- - -")</f>
        <v>DAĞITIM</v>
      </c>
      <c r="F338" s="28">
        <v>110970</v>
      </c>
      <c r="G338" s="28" t="str">
        <f>IFERROR(VLOOKUP(F338,'Personel Bilgi'!A:B,2,0),"- - - ")</f>
        <v>FIRDEVS SAMCI</v>
      </c>
      <c r="H338" s="28" t="str">
        <f>IFERROR(VLOOKUP(F338,'Personel Bilgi'!A:D,3,0),"- - -")</f>
        <v>YAPRAK KARAKOC</v>
      </c>
      <c r="I338" s="28" t="str">
        <f>IFERROR(VLOOKUP(F338,'Personel Bilgi'!A:D,4,0),"- - -")</f>
        <v>KARS</v>
      </c>
      <c r="J338" s="28" t="str">
        <f>IFERROR(VLOOKUP(F338,'Personel Bilgi'!A:E,5,0),"- - -")</f>
        <v>MÜŞTERİ TEMSİLCİSİ</v>
      </c>
      <c r="K338" s="22" t="s">
        <v>49</v>
      </c>
      <c r="L338" s="22" t="s">
        <v>47</v>
      </c>
      <c r="M338" s="21" t="s">
        <v>603</v>
      </c>
      <c r="N338" s="36">
        <v>46016</v>
      </c>
      <c r="O338" s="36">
        <v>46016</v>
      </c>
      <c r="P338" s="21" t="s">
        <v>80</v>
      </c>
      <c r="Q338" s="37" t="s">
        <v>735</v>
      </c>
      <c r="R338" s="19" t="s">
        <v>86</v>
      </c>
      <c r="S338" s="21" t="s">
        <v>92</v>
      </c>
      <c r="T338" s="21" t="s">
        <v>95</v>
      </c>
      <c r="U338" s="21">
        <v>100</v>
      </c>
      <c r="V338" s="21" t="s">
        <v>736</v>
      </c>
      <c r="W338" s="28">
        <v>110970</v>
      </c>
      <c r="X338" s="19" t="str">
        <f>IFERROR(VLOOKUP(W338,'Personel Bilgi'!A:B,2,0),"---")</f>
        <v>FIRDEVS SAMCI</v>
      </c>
      <c r="Y338" s="19" t="str">
        <f>IFERROR(VLOOKUP(W338,'Personel Bilgi'!A:C,3,0),"---")</f>
        <v>YAPRAK KARAKOC</v>
      </c>
      <c r="Z338" s="22" t="s">
        <v>95</v>
      </c>
      <c r="AA338" s="22" t="s">
        <v>617</v>
      </c>
      <c r="AB338" s="22" t="s">
        <v>49</v>
      </c>
      <c r="AC338" s="22" t="s">
        <v>47</v>
      </c>
      <c r="AD338" s="21" t="s">
        <v>603</v>
      </c>
    </row>
    <row r="339" spans="1:30" x14ac:dyDescent="0.25">
      <c r="A339" s="19" t="s">
        <v>11</v>
      </c>
      <c r="B339" s="19" t="s">
        <v>1062</v>
      </c>
      <c r="C339" s="28">
        <v>5517137902</v>
      </c>
      <c r="D339" s="19" t="s">
        <v>16</v>
      </c>
      <c r="E339" s="19" t="str">
        <f>IFERROR(VLOOKUP(D339,Tanımlar!C:D,2,0),"- - -")</f>
        <v>DAĞITIM</v>
      </c>
      <c r="F339" s="28">
        <v>999999</v>
      </c>
      <c r="G339" s="28" t="str">
        <f>IFERROR(VLOOKUP(F339,'Personel Bilgi'!A:B,2,0),"- - - ")</f>
        <v>GENEL TEŞEKKÜR</v>
      </c>
      <c r="H339" s="28" t="str">
        <f>IFERROR(VLOOKUP(F339,'Personel Bilgi'!A:D,3,0),"- - -")</f>
        <v>GENEL TEŞEKKÜR</v>
      </c>
      <c r="I339" s="28" t="str">
        <f>IFERROR(VLOOKUP(F339,'Personel Bilgi'!A:D,4,0),"- - -")</f>
        <v>GENEL TEŞEKKÜR</v>
      </c>
      <c r="J339" s="28" t="str">
        <f>IFERROR(VLOOKUP(F339,'Personel Bilgi'!A:E,5,0),"- - -")</f>
        <v>GENEL TEŞEKKÜR</v>
      </c>
      <c r="K339" s="22" t="s">
        <v>49</v>
      </c>
      <c r="L339" s="22" t="s">
        <v>47</v>
      </c>
      <c r="M339" s="21" t="s">
        <v>605</v>
      </c>
      <c r="N339" s="36">
        <v>46016</v>
      </c>
      <c r="O339" s="36">
        <v>46016</v>
      </c>
      <c r="P339" s="21" t="s">
        <v>80</v>
      </c>
      <c r="Q339" s="37" t="s">
        <v>735</v>
      </c>
      <c r="R339" s="19" t="s">
        <v>86</v>
      </c>
      <c r="S339" s="21" t="s">
        <v>93</v>
      </c>
      <c r="T339" s="21" t="s">
        <v>95</v>
      </c>
      <c r="U339" s="21" t="s">
        <v>735</v>
      </c>
      <c r="V339" s="21" t="s">
        <v>736</v>
      </c>
      <c r="W339" s="28">
        <v>110970</v>
      </c>
      <c r="X339" s="19" t="str">
        <f>IFERROR(VLOOKUP(W339,'Personel Bilgi'!A:B,2,0),"---")</f>
        <v>FIRDEVS SAMCI</v>
      </c>
      <c r="Y339" s="19" t="str">
        <f>IFERROR(VLOOKUP(W339,'Personel Bilgi'!A:C,3,0),"---")</f>
        <v>YAPRAK KARAKOC</v>
      </c>
      <c r="Z339" s="22" t="s">
        <v>95</v>
      </c>
      <c r="AA339" s="22" t="s">
        <v>617</v>
      </c>
      <c r="AB339" s="22" t="s">
        <v>49</v>
      </c>
      <c r="AC339" s="22" t="s">
        <v>47</v>
      </c>
      <c r="AD339" s="21" t="s">
        <v>605</v>
      </c>
    </row>
    <row r="340" spans="1:30" x14ac:dyDescent="0.25">
      <c r="A340" s="19" t="s">
        <v>10</v>
      </c>
      <c r="B340" s="19">
        <v>5331377224</v>
      </c>
      <c r="C340" s="19">
        <v>5331377224</v>
      </c>
      <c r="D340" s="19" t="s">
        <v>14</v>
      </c>
      <c r="E340" s="19" t="str">
        <f>IFERROR(VLOOKUP(D340,Tanımlar!C:D,2,0),"- - -")</f>
        <v>DAĞITIM</v>
      </c>
      <c r="F340" s="28">
        <v>110626</v>
      </c>
      <c r="G340" s="28" t="str">
        <f>IFERROR(VLOOKUP(F340,'Personel Bilgi'!A:B,2,0),"- - - ")</f>
        <v>SEVDA BULUT</v>
      </c>
      <c r="H340" s="28" t="str">
        <f>IFERROR(VLOOKUP(F340,'Personel Bilgi'!A:D,3,0),"- - -")</f>
        <v>SEVCAN BULUT</v>
      </c>
      <c r="I340" s="28" t="str">
        <f>IFERROR(VLOOKUP(F340,'Personel Bilgi'!A:D,4,0),"- - -")</f>
        <v>KARS</v>
      </c>
      <c r="J340" s="28" t="str">
        <f>IFERROR(VLOOKUP(F340,'Personel Bilgi'!A:E,5,0),"- - -")</f>
        <v>MÜŞTERİ TEMSİLCİSİ</v>
      </c>
      <c r="K340" s="22" t="s">
        <v>57</v>
      </c>
      <c r="L340" s="22" t="s">
        <v>41</v>
      </c>
      <c r="M340" s="22" t="s">
        <v>42</v>
      </c>
      <c r="N340" s="36">
        <v>46014</v>
      </c>
      <c r="O340" s="36">
        <v>46016</v>
      </c>
      <c r="P340" s="21" t="s">
        <v>1145</v>
      </c>
      <c r="Q340" s="37" t="s">
        <v>735</v>
      </c>
      <c r="R340" s="19" t="s">
        <v>86</v>
      </c>
      <c r="S340" s="21" t="s">
        <v>92</v>
      </c>
      <c r="T340" s="21" t="s">
        <v>95</v>
      </c>
      <c r="U340" s="21">
        <v>65</v>
      </c>
      <c r="V340" s="21" t="s">
        <v>736</v>
      </c>
      <c r="W340" s="19">
        <v>666666</v>
      </c>
      <c r="X340" s="19" t="str">
        <f>IFERROR(VLOOKUP(W340,'Personel Bilgi'!A:B,2,0),"---")</f>
        <v>İÇ BİRİM</v>
      </c>
      <c r="Y340" s="19" t="str">
        <f>IFERROR(VLOOKUP(W340,'Personel Bilgi'!A:C,3,0),"---")</f>
        <v>İÇ BİRİM</v>
      </c>
      <c r="Z340" s="19" t="str">
        <f>IFERROR(VLOOKUP(X340,'Personel Bilgi'!B:D,3,0),"---")</f>
        <v>İÇ BİRİM</v>
      </c>
      <c r="AA340" s="19" t="str">
        <f>IFERROR(VLOOKUP(Y340,'Personel Bilgi'!C:E,3,0),"---")</f>
        <v>İÇ BİRİM</v>
      </c>
      <c r="AB340" s="22" t="s">
        <v>57</v>
      </c>
      <c r="AC340" s="22" t="s">
        <v>41</v>
      </c>
      <c r="AD340" s="22" t="s">
        <v>42</v>
      </c>
    </row>
    <row r="341" spans="1:30" x14ac:dyDescent="0.25">
      <c r="A341" s="19" t="s">
        <v>10</v>
      </c>
      <c r="B341" s="19">
        <v>5331377224</v>
      </c>
      <c r="C341" s="19">
        <v>5331377224</v>
      </c>
      <c r="D341" s="19" t="s">
        <v>14</v>
      </c>
      <c r="E341" s="19" t="str">
        <f>IFERROR(VLOOKUP(D341,Tanımlar!C:D,2,0),"- - -")</f>
        <v>DAĞITIM</v>
      </c>
      <c r="F341" s="28">
        <v>500031</v>
      </c>
      <c r="G341" s="28" t="str">
        <f>IFERROR(VLOOKUP(F341,'Personel Bilgi'!A:B,2,0),"- - - ")</f>
        <v>OZGEN ERTEK</v>
      </c>
      <c r="H341" s="28" t="str">
        <f>IFERROR(VLOOKUP(F341,'Personel Bilgi'!A:D,3,0),"- - -")</f>
        <v>ERDOGAN DURUK</v>
      </c>
      <c r="I341" s="28" t="str">
        <f>IFERROR(VLOOKUP(F341,'Personel Bilgi'!A:D,4,0),"- - -")</f>
        <v>ERZURUM</v>
      </c>
      <c r="J341" s="28" t="str">
        <f>IFERROR(VLOOKUP(F341,'Personel Bilgi'!A:E,5,0),"- - -")</f>
        <v>MÜŞTERİ TEMSİLCİSİ</v>
      </c>
      <c r="K341" s="22" t="s">
        <v>57</v>
      </c>
      <c r="L341" s="22" t="s">
        <v>41</v>
      </c>
      <c r="M341" s="22" t="s">
        <v>42</v>
      </c>
      <c r="N341" s="36">
        <v>46010</v>
      </c>
      <c r="O341" s="36">
        <v>46016</v>
      </c>
      <c r="P341" s="21" t="s">
        <v>1145</v>
      </c>
      <c r="Q341" s="37" t="s">
        <v>735</v>
      </c>
      <c r="R341" s="19" t="s">
        <v>86</v>
      </c>
      <c r="S341" s="21" t="s">
        <v>92</v>
      </c>
      <c r="T341" s="21" t="s">
        <v>95</v>
      </c>
      <c r="U341" s="21">
        <v>70</v>
      </c>
      <c r="V341" s="21" t="s">
        <v>736</v>
      </c>
      <c r="W341" s="19">
        <v>666666</v>
      </c>
      <c r="X341" s="19" t="str">
        <f>IFERROR(VLOOKUP(W341,'Personel Bilgi'!A:B,2,0),"---")</f>
        <v>İÇ BİRİM</v>
      </c>
      <c r="Y341" s="19" t="str">
        <f>IFERROR(VLOOKUP(W341,'Personel Bilgi'!A:C,3,0),"---")</f>
        <v>İÇ BİRİM</v>
      </c>
      <c r="Z341" s="19" t="str">
        <f>IFERROR(VLOOKUP(X341,'Personel Bilgi'!B:D,3,0),"---")</f>
        <v>İÇ BİRİM</v>
      </c>
      <c r="AA341" s="19" t="str">
        <f>IFERROR(VLOOKUP(Y341,'Personel Bilgi'!C:E,3,0),"---")</f>
        <v>İÇ BİRİM</v>
      </c>
      <c r="AB341" s="22" t="s">
        <v>57</v>
      </c>
      <c r="AC341" s="22" t="s">
        <v>41</v>
      </c>
      <c r="AD341" s="22" t="s">
        <v>42</v>
      </c>
    </row>
    <row r="342" spans="1:30" x14ac:dyDescent="0.25">
      <c r="A342" s="19" t="s">
        <v>10</v>
      </c>
      <c r="B342" s="19">
        <v>5055238418</v>
      </c>
      <c r="C342" s="19">
        <v>5055238418</v>
      </c>
      <c r="D342" s="19" t="s">
        <v>13</v>
      </c>
      <c r="E342" s="19" t="str">
        <f>IFERROR(VLOOKUP(D342,Tanımlar!C:D,2,0),"- - -")</f>
        <v>PERAKENDE</v>
      </c>
      <c r="F342" s="28">
        <v>600611</v>
      </c>
      <c r="G342" s="28" t="str">
        <f>IFERROR(VLOOKUP(F342,'Personel Bilgi'!A:B,2,0),"- - - ")</f>
        <v>ZEYNEP KOC</v>
      </c>
      <c r="H342" s="28" t="str">
        <f>IFERROR(VLOOKUP(F342,'Personel Bilgi'!A:D,3,0),"- - -")</f>
        <v>FERHAT DEMIR</v>
      </c>
      <c r="I342" s="28" t="str">
        <f>IFERROR(VLOOKUP(F342,'Personel Bilgi'!A:D,4,0),"- - -")</f>
        <v>ANKARA</v>
      </c>
      <c r="J342" s="28" t="str">
        <f>IFERROR(VLOOKUP(F342,'Personel Bilgi'!A:E,5,0),"- - -")</f>
        <v>MÜŞTERİ TEMSİLCİSİ</v>
      </c>
      <c r="K342" s="22" t="s">
        <v>65</v>
      </c>
      <c r="L342" s="22" t="s">
        <v>96</v>
      </c>
      <c r="M342" s="22" t="s">
        <v>29</v>
      </c>
      <c r="N342" s="36">
        <v>46013</v>
      </c>
      <c r="O342" s="36">
        <v>46016</v>
      </c>
      <c r="P342" s="21" t="s">
        <v>1145</v>
      </c>
      <c r="Q342" s="37" t="s">
        <v>735</v>
      </c>
      <c r="R342" s="19" t="s">
        <v>86</v>
      </c>
      <c r="S342" s="21" t="s">
        <v>92</v>
      </c>
      <c r="T342" s="21" t="s">
        <v>95</v>
      </c>
      <c r="U342" s="21">
        <v>65</v>
      </c>
      <c r="V342" s="21" t="s">
        <v>736</v>
      </c>
      <c r="W342" s="19">
        <v>666666</v>
      </c>
      <c r="X342" s="19" t="str">
        <f>IFERROR(VLOOKUP(W342,'Personel Bilgi'!A:B,2,0),"---")</f>
        <v>İÇ BİRİM</v>
      </c>
      <c r="Y342" s="19" t="str">
        <f>IFERROR(VLOOKUP(W342,'Personel Bilgi'!A:C,3,0),"---")</f>
        <v>İÇ BİRİM</v>
      </c>
      <c r="Z342" s="19" t="str">
        <f>IFERROR(VLOOKUP(X342,'Personel Bilgi'!B:D,3,0),"---")</f>
        <v>İÇ BİRİM</v>
      </c>
      <c r="AA342" s="19" t="str">
        <f>IFERROR(VLOOKUP(Y342,'Personel Bilgi'!C:E,3,0),"---")</f>
        <v>İÇ BİRİM</v>
      </c>
      <c r="AB342" s="22" t="s">
        <v>65</v>
      </c>
      <c r="AC342" s="22" t="s">
        <v>96</v>
      </c>
      <c r="AD342" s="22" t="s">
        <v>29</v>
      </c>
    </row>
    <row r="343" spans="1:30" x14ac:dyDescent="0.25">
      <c r="A343" s="19" t="s">
        <v>10</v>
      </c>
      <c r="B343" s="19">
        <v>5055238418</v>
      </c>
      <c r="C343" s="19">
        <v>5055238418</v>
      </c>
      <c r="D343" s="19" t="s">
        <v>13</v>
      </c>
      <c r="E343" s="19" t="str">
        <f>IFERROR(VLOOKUP(D343,Tanımlar!C:D,2,0),"- - -")</f>
        <v>PERAKENDE</v>
      </c>
      <c r="F343" s="28">
        <v>600581</v>
      </c>
      <c r="G343" s="28" t="str">
        <f>IFERROR(VLOOKUP(F343,'Personel Bilgi'!A:B,2,0),"- - - ")</f>
        <v>ACELYA EKINCI</v>
      </c>
      <c r="H343" s="28" t="str">
        <f>IFERROR(VLOOKUP(F343,'Personel Bilgi'!A:D,3,0),"- - -")</f>
        <v>BUSRA OLCULMUS</v>
      </c>
      <c r="I343" s="28" t="str">
        <f>IFERROR(VLOOKUP(F343,'Personel Bilgi'!A:D,4,0),"- - -")</f>
        <v>ANKARA</v>
      </c>
      <c r="J343" s="28" t="str">
        <f>IFERROR(VLOOKUP(F343,'Personel Bilgi'!A:E,5,0),"- - -")</f>
        <v>MÜŞTERİ TEMSİLCİSİ</v>
      </c>
      <c r="K343" s="22" t="s">
        <v>65</v>
      </c>
      <c r="L343" s="22" t="s">
        <v>96</v>
      </c>
      <c r="M343" s="22" t="s">
        <v>29</v>
      </c>
      <c r="N343" s="36">
        <v>46013</v>
      </c>
      <c r="O343" s="36">
        <v>46016</v>
      </c>
      <c r="P343" s="21" t="s">
        <v>1145</v>
      </c>
      <c r="Q343" s="37" t="s">
        <v>735</v>
      </c>
      <c r="R343" s="19" t="s">
        <v>86</v>
      </c>
      <c r="S343" s="21" t="s">
        <v>92</v>
      </c>
      <c r="T343" s="21" t="s">
        <v>95</v>
      </c>
      <c r="U343" s="21">
        <v>60</v>
      </c>
      <c r="V343" s="21" t="s">
        <v>736</v>
      </c>
      <c r="W343" s="19">
        <v>666666</v>
      </c>
      <c r="X343" s="19" t="str">
        <f>IFERROR(VLOOKUP(W343,'Personel Bilgi'!A:B,2,0),"---")</f>
        <v>İÇ BİRİM</v>
      </c>
      <c r="Y343" s="19" t="str">
        <f>IFERROR(VLOOKUP(W343,'Personel Bilgi'!A:C,3,0),"---")</f>
        <v>İÇ BİRİM</v>
      </c>
      <c r="Z343" s="19" t="str">
        <f>IFERROR(VLOOKUP(X343,'Personel Bilgi'!B:D,3,0),"---")</f>
        <v>İÇ BİRİM</v>
      </c>
      <c r="AA343" s="19" t="str">
        <f>IFERROR(VLOOKUP(Y343,'Personel Bilgi'!C:E,3,0),"---")</f>
        <v>İÇ BİRİM</v>
      </c>
      <c r="AB343" s="22" t="s">
        <v>65</v>
      </c>
      <c r="AC343" s="22" t="s">
        <v>96</v>
      </c>
      <c r="AD343" s="22" t="s">
        <v>29</v>
      </c>
    </row>
    <row r="344" spans="1:30" x14ac:dyDescent="0.25">
      <c r="A344" s="19" t="s">
        <v>11</v>
      </c>
      <c r="B344" s="19" t="s">
        <v>1063</v>
      </c>
      <c r="C344" s="19">
        <v>5322439497</v>
      </c>
      <c r="D344" s="19" t="s">
        <v>15</v>
      </c>
      <c r="E344" s="19" t="str">
        <f>IFERROR(VLOOKUP(D344,Tanımlar!C:D,2,0),"- - -")</f>
        <v>PERAKENDE</v>
      </c>
      <c r="F344" s="28">
        <v>110617</v>
      </c>
      <c r="G344" s="28" t="str">
        <f>IFERROR(VLOOKUP(F344,'Personel Bilgi'!A:B,2,0),"- - - ")</f>
        <v>NAZLICAN ADIGUZELLI</v>
      </c>
      <c r="H344" s="28" t="str">
        <f>IFERROR(VLOOKUP(F344,'Personel Bilgi'!A:D,3,0),"- - -")</f>
        <v>YAPRAK KARAKOC</v>
      </c>
      <c r="I344" s="28" t="str">
        <f>IFERROR(VLOOKUP(F344,'Personel Bilgi'!A:D,4,0),"- - -")</f>
        <v>KARS</v>
      </c>
      <c r="J344" s="28" t="str">
        <f>IFERROR(VLOOKUP(F344,'Personel Bilgi'!A:E,5,0),"- - -")</f>
        <v>MÜŞTERİ TEMSİLCİSİ</v>
      </c>
      <c r="K344" s="22" t="s">
        <v>66</v>
      </c>
      <c r="L344" s="22" t="s">
        <v>41</v>
      </c>
      <c r="M344" s="22" t="s">
        <v>42</v>
      </c>
      <c r="N344" s="36">
        <v>46015</v>
      </c>
      <c r="O344" s="36">
        <v>46016</v>
      </c>
      <c r="P344" s="21" t="s">
        <v>1145</v>
      </c>
      <c r="Q344" s="37" t="s">
        <v>735</v>
      </c>
      <c r="R344" s="19" t="s">
        <v>86</v>
      </c>
      <c r="S344" s="21" t="s">
        <v>92</v>
      </c>
      <c r="T344" s="21" t="s">
        <v>95</v>
      </c>
      <c r="U344" s="21">
        <v>81</v>
      </c>
      <c r="V344" s="21" t="s">
        <v>736</v>
      </c>
      <c r="W344" s="19">
        <v>110617</v>
      </c>
      <c r="X344" s="19" t="str">
        <f>IFERROR(VLOOKUP(W344,'Personel Bilgi'!A:B,2,0),"---")</f>
        <v>NAZLICAN ADIGUZELLI</v>
      </c>
      <c r="Y344" s="19" t="str">
        <f>IFERROR(VLOOKUP(W344,'Personel Bilgi'!A:C,3,0),"---")</f>
        <v>YAPRAK KARAKOC</v>
      </c>
      <c r="Z344" s="22" t="s">
        <v>94</v>
      </c>
      <c r="AA344" s="22" t="s">
        <v>616</v>
      </c>
      <c r="AB344" s="22" t="s">
        <v>66</v>
      </c>
      <c r="AC344" s="22" t="s">
        <v>41</v>
      </c>
      <c r="AD344" s="22" t="s">
        <v>42</v>
      </c>
    </row>
    <row r="345" spans="1:30" x14ac:dyDescent="0.25">
      <c r="A345" s="19" t="s">
        <v>11</v>
      </c>
      <c r="B345" s="19" t="s">
        <v>1064</v>
      </c>
      <c r="C345" s="19">
        <v>5323333539</v>
      </c>
      <c r="D345" s="19" t="s">
        <v>15</v>
      </c>
      <c r="E345" s="19" t="str">
        <f>IFERROR(VLOOKUP(D345,Tanımlar!C:D,2,0),"- - -")</f>
        <v>PERAKENDE</v>
      </c>
      <c r="F345" s="28">
        <v>111264</v>
      </c>
      <c r="G345" s="28" t="str">
        <f>IFERROR(VLOOKUP(F345,'Personel Bilgi'!A:B,2,0),"- - - ")</f>
        <v>RESUL BULUT</v>
      </c>
      <c r="H345" s="28" t="str">
        <f>IFERROR(VLOOKUP(F345,'Personel Bilgi'!A:D,3,0),"- - -")</f>
        <v>KURTHAN FERDI CIHANTIMUR</v>
      </c>
      <c r="I345" s="28" t="str">
        <f>IFERROR(VLOOKUP(F345,'Personel Bilgi'!A:D,4,0),"- - -")</f>
        <v>KARS</v>
      </c>
      <c r="J345" s="28" t="str">
        <f>IFERROR(VLOOKUP(F345,'Personel Bilgi'!A:E,5,0),"- - -")</f>
        <v>MÜŞTERİ TEMSİLCİSİ</v>
      </c>
      <c r="K345" s="22" t="s">
        <v>65</v>
      </c>
      <c r="L345" s="22" t="s">
        <v>47</v>
      </c>
      <c r="M345" s="21" t="s">
        <v>603</v>
      </c>
      <c r="N345" s="36">
        <v>46015</v>
      </c>
      <c r="O345" s="36">
        <v>46016</v>
      </c>
      <c r="P345" s="21" t="s">
        <v>80</v>
      </c>
      <c r="Q345" s="37" t="s">
        <v>735</v>
      </c>
      <c r="R345" s="19" t="s">
        <v>86</v>
      </c>
      <c r="S345" s="21" t="s">
        <v>92</v>
      </c>
      <c r="T345" s="21" t="s">
        <v>95</v>
      </c>
      <c r="U345" s="21">
        <v>100</v>
      </c>
      <c r="V345" s="21" t="s">
        <v>736</v>
      </c>
      <c r="W345" s="19">
        <v>110434</v>
      </c>
      <c r="X345" s="19" t="str">
        <f>IFERROR(VLOOKUP(W345,'Personel Bilgi'!A:B,2,0),"---")</f>
        <v>SULTAN KAYA</v>
      </c>
      <c r="Y345" s="19" t="str">
        <f>IFERROR(VLOOKUP(W345,'Personel Bilgi'!A:C,3,0),"---")</f>
        <v>ERCUMENT GUNESSU</v>
      </c>
      <c r="Z345" s="22" t="s">
        <v>95</v>
      </c>
      <c r="AA345" s="22" t="s">
        <v>617</v>
      </c>
      <c r="AB345" s="22" t="s">
        <v>65</v>
      </c>
      <c r="AC345" s="22" t="s">
        <v>47</v>
      </c>
      <c r="AD345" s="21" t="s">
        <v>603</v>
      </c>
    </row>
    <row r="346" spans="1:30" x14ac:dyDescent="0.25">
      <c r="A346" s="19" t="s">
        <v>11</v>
      </c>
      <c r="B346" s="22" t="s">
        <v>1065</v>
      </c>
      <c r="C346" s="28">
        <v>5389386197</v>
      </c>
      <c r="D346" s="22" t="s">
        <v>15</v>
      </c>
      <c r="E346" s="19" t="str">
        <f>IFERROR(VLOOKUP(D346,Tanımlar!C:D,2,0),"- - -")</f>
        <v>PERAKENDE</v>
      </c>
      <c r="F346" s="47">
        <v>111153</v>
      </c>
      <c r="G346" s="28" t="str">
        <f>IFERROR(VLOOKUP(F346,'Personel Bilgi'!A:B,2,0),"- - - ")</f>
        <v>RABIA AYAG</v>
      </c>
      <c r="H346" s="28" t="str">
        <f>IFERROR(VLOOKUP(F346,'Personel Bilgi'!A:D,3,0),"- - -")</f>
        <v>KURTHAN FERDI CIHANTIMUR</v>
      </c>
      <c r="I346" s="28" t="str">
        <f>IFERROR(VLOOKUP(F346,'Personel Bilgi'!A:D,4,0),"- - -")</f>
        <v>KARS</v>
      </c>
      <c r="J346" s="28" t="str">
        <f>IFERROR(VLOOKUP(F346,'Personel Bilgi'!A:E,5,0),"- - -")</f>
        <v>MÜŞTERİ TEMSİLCİSİ</v>
      </c>
      <c r="K346" s="22" t="s">
        <v>66</v>
      </c>
      <c r="L346" s="21" t="s">
        <v>41</v>
      </c>
      <c r="M346" s="21" t="s">
        <v>44</v>
      </c>
      <c r="N346" s="36">
        <v>46014</v>
      </c>
      <c r="O346" s="36">
        <v>46016</v>
      </c>
      <c r="P346" s="21" t="s">
        <v>81</v>
      </c>
      <c r="Q346" s="37" t="s">
        <v>735</v>
      </c>
      <c r="R346" s="21" t="s">
        <v>790</v>
      </c>
      <c r="S346" s="21" t="s">
        <v>92</v>
      </c>
      <c r="T346" s="21" t="s">
        <v>95</v>
      </c>
      <c r="U346" s="21">
        <v>100</v>
      </c>
      <c r="V346" s="21" t="s">
        <v>736</v>
      </c>
      <c r="W346" s="47">
        <v>111153</v>
      </c>
      <c r="X346" s="19" t="str">
        <f>IFERROR(VLOOKUP(W346,'Personel Bilgi'!A:B,2,0),"---")</f>
        <v>RABIA AYAG</v>
      </c>
      <c r="Y346" s="19" t="str">
        <f>IFERROR(VLOOKUP(W346,'Personel Bilgi'!A:C,3,0),"---")</f>
        <v>KURTHAN FERDI CIHANTIMUR</v>
      </c>
      <c r="Z346" s="22" t="s">
        <v>95</v>
      </c>
      <c r="AA346" s="22" t="s">
        <v>617</v>
      </c>
      <c r="AB346" s="22" t="s">
        <v>66</v>
      </c>
      <c r="AC346" s="21" t="s">
        <v>41</v>
      </c>
      <c r="AD346" s="21" t="s">
        <v>44</v>
      </c>
    </row>
    <row r="347" spans="1:30" x14ac:dyDescent="0.25">
      <c r="A347" s="19" t="s">
        <v>11</v>
      </c>
      <c r="B347" s="20" t="s">
        <v>1066</v>
      </c>
      <c r="C347" s="28">
        <v>5541283044</v>
      </c>
      <c r="D347" s="22" t="s">
        <v>15</v>
      </c>
      <c r="E347" s="19" t="str">
        <f>IFERROR(VLOOKUP(D347,Tanımlar!C:D,2,0),"- - -")</f>
        <v>PERAKENDE</v>
      </c>
      <c r="F347" s="47">
        <v>111204</v>
      </c>
      <c r="G347" s="28" t="str">
        <f>IFERROR(VLOOKUP(F347,'Personel Bilgi'!A:B,2,0),"- - - ")</f>
        <v>FEVZI KOCU</v>
      </c>
      <c r="H347" s="28" t="str">
        <f>IFERROR(VLOOKUP(F347,'Personel Bilgi'!A:D,3,0),"- - -")</f>
        <v>SEVCAN BULUT</v>
      </c>
      <c r="I347" s="28" t="str">
        <f>IFERROR(VLOOKUP(F347,'Personel Bilgi'!A:D,4,0),"- - -")</f>
        <v>KARS</v>
      </c>
      <c r="J347" s="28" t="str">
        <f>IFERROR(VLOOKUP(F347,'Personel Bilgi'!A:E,5,0),"- - -")</f>
        <v>MÜŞTERİ TEMSİLCİSİ</v>
      </c>
      <c r="K347" s="22" t="s">
        <v>65</v>
      </c>
      <c r="L347" s="21" t="s">
        <v>96</v>
      </c>
      <c r="M347" s="21" t="s">
        <v>29</v>
      </c>
      <c r="N347" s="36">
        <v>45999</v>
      </c>
      <c r="O347" s="36">
        <v>46016</v>
      </c>
      <c r="P347" s="21" t="s">
        <v>81</v>
      </c>
      <c r="Q347" s="37" t="s">
        <v>735</v>
      </c>
      <c r="R347" s="21" t="s">
        <v>790</v>
      </c>
      <c r="S347" s="21" t="s">
        <v>92</v>
      </c>
      <c r="T347" s="21" t="s">
        <v>95</v>
      </c>
      <c r="U347" s="21">
        <v>100</v>
      </c>
      <c r="V347" s="21" t="s">
        <v>736</v>
      </c>
      <c r="W347" s="21">
        <v>600147</v>
      </c>
      <c r="X347" s="19" t="str">
        <f>IFERROR(VLOOKUP(W347,'Personel Bilgi'!A:B,2,0),"---")</f>
        <v>SULENUR YAVUZ</v>
      </c>
      <c r="Y347" s="19" t="str">
        <f>IFERROR(VLOOKUP(W347,'Personel Bilgi'!A:C,3,0),"---")</f>
        <v>HALIL EREN YILDIZ</v>
      </c>
      <c r="Z347" s="22" t="s">
        <v>95</v>
      </c>
      <c r="AA347" s="22" t="s">
        <v>617</v>
      </c>
      <c r="AB347" s="22" t="s">
        <v>65</v>
      </c>
      <c r="AC347" s="21" t="s">
        <v>96</v>
      </c>
      <c r="AD347" s="21" t="s">
        <v>29</v>
      </c>
    </row>
    <row r="348" spans="1:30" x14ac:dyDescent="0.25">
      <c r="A348" s="19" t="s">
        <v>11</v>
      </c>
      <c r="B348" s="20" t="s">
        <v>1066</v>
      </c>
      <c r="C348" s="28">
        <v>5541283044</v>
      </c>
      <c r="D348" s="22" t="s">
        <v>15</v>
      </c>
      <c r="E348" s="19" t="str">
        <f>IFERROR(VLOOKUP(D348,Tanımlar!C:D,2,0),"- - -")</f>
        <v>PERAKENDE</v>
      </c>
      <c r="F348" s="47">
        <v>600473</v>
      </c>
      <c r="G348" s="28" t="str">
        <f>IFERROR(VLOOKUP(F348,'Personel Bilgi'!A:B,2,0),"- - - ")</f>
        <v>HALIME KAYA</v>
      </c>
      <c r="H348" s="28" t="str">
        <f>IFERROR(VLOOKUP(F348,'Personel Bilgi'!A:D,3,0),"- - -")</f>
        <v>FERHAT DEMIR</v>
      </c>
      <c r="I348" s="28" t="str">
        <f>IFERROR(VLOOKUP(F348,'Personel Bilgi'!A:D,4,0),"- - -")</f>
        <v>ANKARA</v>
      </c>
      <c r="J348" s="28" t="str">
        <f>IFERROR(VLOOKUP(F348,'Personel Bilgi'!A:E,5,0),"- - -")</f>
        <v>MÜŞTERİ TEMSİLCİSİ</v>
      </c>
      <c r="K348" s="22" t="s">
        <v>65</v>
      </c>
      <c r="L348" s="21" t="s">
        <v>96</v>
      </c>
      <c r="M348" s="21" t="s">
        <v>29</v>
      </c>
      <c r="N348" s="36">
        <v>46000</v>
      </c>
      <c r="O348" s="36">
        <v>46016</v>
      </c>
      <c r="P348" s="21" t="s">
        <v>81</v>
      </c>
      <c r="Q348" s="37" t="s">
        <v>735</v>
      </c>
      <c r="R348" s="21" t="s">
        <v>790</v>
      </c>
      <c r="S348" s="21" t="s">
        <v>92</v>
      </c>
      <c r="T348" s="21" t="s">
        <v>95</v>
      </c>
      <c r="U348" s="21">
        <v>100</v>
      </c>
      <c r="V348" s="21" t="s">
        <v>736</v>
      </c>
      <c r="W348" s="21">
        <v>600147</v>
      </c>
      <c r="X348" s="19" t="str">
        <f>IFERROR(VLOOKUP(W348,'Personel Bilgi'!A:B,2,0),"---")</f>
        <v>SULENUR YAVUZ</v>
      </c>
      <c r="Y348" s="19" t="str">
        <f>IFERROR(VLOOKUP(W348,'Personel Bilgi'!A:C,3,0),"---")</f>
        <v>HALIL EREN YILDIZ</v>
      </c>
      <c r="Z348" s="22" t="s">
        <v>95</v>
      </c>
      <c r="AA348" s="22" t="s">
        <v>617</v>
      </c>
      <c r="AB348" s="22" t="s">
        <v>65</v>
      </c>
      <c r="AC348" s="21" t="s">
        <v>96</v>
      </c>
      <c r="AD348" s="21" t="s">
        <v>29</v>
      </c>
    </row>
    <row r="349" spans="1:30" x14ac:dyDescent="0.25">
      <c r="A349" s="19" t="s">
        <v>11</v>
      </c>
      <c r="B349" s="22" t="s">
        <v>1067</v>
      </c>
      <c r="C349" s="28">
        <v>5327957107</v>
      </c>
      <c r="D349" s="22" t="s">
        <v>15</v>
      </c>
      <c r="E349" s="19" t="str">
        <f>IFERROR(VLOOKUP(D349,Tanımlar!C:D,2,0),"- - -")</f>
        <v>PERAKENDE</v>
      </c>
      <c r="F349" s="28">
        <v>111228</v>
      </c>
      <c r="G349" s="28" t="str">
        <f>IFERROR(VLOOKUP(F349,'Personel Bilgi'!A:B,2,0),"- - - ")</f>
        <v>YUNUS EMRE TEK</v>
      </c>
      <c r="H349" s="28" t="str">
        <f>IFERROR(VLOOKUP(F349,'Personel Bilgi'!A:D,3,0),"- - -")</f>
        <v>CEYHAN AYRIC</v>
      </c>
      <c r="I349" s="28" t="str">
        <f>IFERROR(VLOOKUP(F349,'Personel Bilgi'!A:D,4,0),"- - -")</f>
        <v>KARS</v>
      </c>
      <c r="J349" s="28" t="str">
        <f>IFERROR(VLOOKUP(F349,'Personel Bilgi'!A:E,5,0),"- - -")</f>
        <v>MÜŞTERİ TEMSİLCİSİ</v>
      </c>
      <c r="K349" s="22" t="s">
        <v>65</v>
      </c>
      <c r="L349" s="21" t="s">
        <v>96</v>
      </c>
      <c r="M349" s="21" t="s">
        <v>29</v>
      </c>
      <c r="N349" s="36">
        <v>46014</v>
      </c>
      <c r="O349" s="36">
        <v>46016</v>
      </c>
      <c r="P349" s="21" t="s">
        <v>81</v>
      </c>
      <c r="Q349" s="37" t="s">
        <v>735</v>
      </c>
      <c r="R349" s="21" t="s">
        <v>790</v>
      </c>
      <c r="S349" s="21" t="s">
        <v>92</v>
      </c>
      <c r="T349" s="21" t="s">
        <v>95</v>
      </c>
      <c r="U349" s="21">
        <v>100</v>
      </c>
      <c r="V349" s="21" t="s">
        <v>736</v>
      </c>
      <c r="W349" s="21">
        <v>600625</v>
      </c>
      <c r="X349" s="19" t="str">
        <f>IFERROR(VLOOKUP(W349,'Personel Bilgi'!A:B,2,0),"---")</f>
        <v>UMMUGULSUM DILARA UZUNDERE</v>
      </c>
      <c r="Y349" s="19" t="str">
        <f>IFERROR(VLOOKUP(W349,'Personel Bilgi'!A:C,3,0),"---")</f>
        <v>FERHAT DEMIR</v>
      </c>
      <c r="Z349" s="22" t="s">
        <v>95</v>
      </c>
      <c r="AA349" s="22" t="s">
        <v>617</v>
      </c>
      <c r="AB349" s="22" t="s">
        <v>65</v>
      </c>
      <c r="AC349" s="21" t="s">
        <v>96</v>
      </c>
      <c r="AD349" s="21" t="s">
        <v>29</v>
      </c>
    </row>
    <row r="350" spans="1:30" x14ac:dyDescent="0.25">
      <c r="A350" s="19" t="s">
        <v>11</v>
      </c>
      <c r="B350" s="22" t="s">
        <v>1068</v>
      </c>
      <c r="C350" s="28">
        <v>5415634108</v>
      </c>
      <c r="D350" s="22" t="s">
        <v>15</v>
      </c>
      <c r="E350" s="19" t="str">
        <f>IFERROR(VLOOKUP(D350,Tanımlar!C:D,2,0),"- - -")</f>
        <v>PERAKENDE</v>
      </c>
      <c r="F350" s="28">
        <v>111269</v>
      </c>
      <c r="G350" s="28" t="str">
        <f>IFERROR(VLOOKUP(F350,'Personel Bilgi'!A:B,2,0),"- - - ")</f>
        <v>HULYA BEKINKAYA</v>
      </c>
      <c r="H350" s="28" t="str">
        <f>IFERROR(VLOOKUP(F350,'Personel Bilgi'!A:D,3,0),"- - -")</f>
        <v>SEDA SEBU</v>
      </c>
      <c r="I350" s="28" t="str">
        <f>IFERROR(VLOOKUP(F350,'Personel Bilgi'!A:D,4,0),"- - -")</f>
        <v>KARS</v>
      </c>
      <c r="J350" s="28" t="str">
        <f>IFERROR(VLOOKUP(F350,'Personel Bilgi'!A:E,5,0),"- - -")</f>
        <v>MÜŞTERİ TEMSİLCİSİ</v>
      </c>
      <c r="K350" s="22" t="s">
        <v>71</v>
      </c>
      <c r="L350" s="27" t="s">
        <v>97</v>
      </c>
      <c r="M350" s="21" t="s">
        <v>26</v>
      </c>
      <c r="N350" s="36">
        <v>46015</v>
      </c>
      <c r="O350" s="36">
        <v>46016</v>
      </c>
      <c r="P350" s="21" t="s">
        <v>1145</v>
      </c>
      <c r="Q350" s="37" t="s">
        <v>735</v>
      </c>
      <c r="R350" s="21" t="s">
        <v>790</v>
      </c>
      <c r="S350" s="21" t="s">
        <v>92</v>
      </c>
      <c r="T350" s="21" t="s">
        <v>94</v>
      </c>
      <c r="U350" s="21">
        <v>0</v>
      </c>
      <c r="V350" s="21" t="s">
        <v>736</v>
      </c>
      <c r="W350" s="28">
        <v>111223</v>
      </c>
      <c r="X350" s="19" t="str">
        <f>IFERROR(VLOOKUP(W350,'Personel Bilgi'!A:B,2,0),"---")</f>
        <v>PINAR YOKUS</v>
      </c>
      <c r="Y350" s="19" t="str">
        <f>IFERROR(VLOOKUP(W350,'Personel Bilgi'!A:C,3,0),"---")</f>
        <v>CEYHAN AYRIC</v>
      </c>
      <c r="Z350" s="22" t="s">
        <v>94</v>
      </c>
      <c r="AA350" s="22" t="s">
        <v>616</v>
      </c>
      <c r="AB350" s="22" t="s">
        <v>71</v>
      </c>
      <c r="AC350" s="27" t="s">
        <v>97</v>
      </c>
      <c r="AD350" s="21" t="s">
        <v>26</v>
      </c>
    </row>
    <row r="351" spans="1:30" x14ac:dyDescent="0.25">
      <c r="A351" s="19" t="s">
        <v>11</v>
      </c>
      <c r="B351" s="20" t="s">
        <v>1069</v>
      </c>
      <c r="C351" s="28">
        <v>5392419483</v>
      </c>
      <c r="D351" s="22" t="s">
        <v>15</v>
      </c>
      <c r="E351" s="19" t="str">
        <f>IFERROR(VLOOKUP(D351,Tanımlar!C:D,2,0),"- - -")</f>
        <v>PERAKENDE</v>
      </c>
      <c r="F351" s="28">
        <v>111257</v>
      </c>
      <c r="G351" s="28" t="str">
        <f>IFERROR(VLOOKUP(F351,'Personel Bilgi'!A:B,2,0),"- - - ")</f>
        <v>BUNYAMIN ERDEM</v>
      </c>
      <c r="H351" s="28" t="str">
        <f>IFERROR(VLOOKUP(F351,'Personel Bilgi'!A:D,3,0),"- - -")</f>
        <v>SEDA SEBU</v>
      </c>
      <c r="I351" s="28" t="str">
        <f>IFERROR(VLOOKUP(F351,'Personel Bilgi'!A:D,4,0),"- - -")</f>
        <v>KARS</v>
      </c>
      <c r="J351" s="28" t="str">
        <f>IFERROR(VLOOKUP(F351,'Personel Bilgi'!A:E,5,0),"- - -")</f>
        <v>MÜŞTERİ TEMSİLCİSİ</v>
      </c>
      <c r="K351" s="22" t="s">
        <v>65</v>
      </c>
      <c r="L351" s="21" t="s">
        <v>97</v>
      </c>
      <c r="M351" s="21" t="s">
        <v>734</v>
      </c>
      <c r="N351" s="36">
        <v>46015</v>
      </c>
      <c r="O351" s="36">
        <v>46016</v>
      </c>
      <c r="P351" s="21" t="s">
        <v>1145</v>
      </c>
      <c r="Q351" s="37" t="s">
        <v>735</v>
      </c>
      <c r="R351" s="21" t="s">
        <v>790</v>
      </c>
      <c r="S351" s="21" t="s">
        <v>92</v>
      </c>
      <c r="T351" s="21" t="s">
        <v>94</v>
      </c>
      <c r="U351" s="21">
        <v>0</v>
      </c>
      <c r="V351" s="21" t="s">
        <v>736</v>
      </c>
      <c r="W351" s="28">
        <v>110430</v>
      </c>
      <c r="X351" s="19" t="str">
        <f>IFERROR(VLOOKUP(W351,'Personel Bilgi'!A:B,2,0),"---")</f>
        <v>SELCAN BULUT</v>
      </c>
      <c r="Y351" s="19" t="str">
        <f>IFERROR(VLOOKUP(W351,'Personel Bilgi'!A:C,3,0),"---")</f>
        <v>YAPRAK KARAKOC</v>
      </c>
      <c r="Z351" s="22" t="s">
        <v>95</v>
      </c>
      <c r="AA351" s="22" t="s">
        <v>617</v>
      </c>
      <c r="AB351" s="22" t="s">
        <v>65</v>
      </c>
      <c r="AC351" s="21" t="s">
        <v>97</v>
      </c>
      <c r="AD351" s="21" t="s">
        <v>734</v>
      </c>
    </row>
    <row r="352" spans="1:30" x14ac:dyDescent="0.25">
      <c r="A352" s="19" t="s">
        <v>11</v>
      </c>
      <c r="B352" s="20" t="s">
        <v>1069</v>
      </c>
      <c r="C352" s="28">
        <v>5392419483</v>
      </c>
      <c r="D352" s="22" t="s">
        <v>15</v>
      </c>
      <c r="E352" s="19" t="str">
        <f>IFERROR(VLOOKUP(D352,Tanımlar!C:D,2,0),"- - -")</f>
        <v>PERAKENDE</v>
      </c>
      <c r="F352" s="28">
        <v>111120</v>
      </c>
      <c r="G352" s="28" t="str">
        <f>IFERROR(VLOOKUP(F352,'Personel Bilgi'!A:B,2,0),"- - - ")</f>
        <v>HAVVA AYDIN</v>
      </c>
      <c r="H352" s="28" t="str">
        <f>IFERROR(VLOOKUP(F352,'Personel Bilgi'!A:D,3,0),"- - -")</f>
        <v>MUHAMMET AKSU</v>
      </c>
      <c r="I352" s="28" t="str">
        <f>IFERROR(VLOOKUP(F352,'Personel Bilgi'!A:D,4,0),"- - -")</f>
        <v>KARS</v>
      </c>
      <c r="J352" s="28" t="str">
        <f>IFERROR(VLOOKUP(F352,'Personel Bilgi'!A:E,5,0),"- - -")</f>
        <v>MÜŞTERİ TEMSİLCİSİ</v>
      </c>
      <c r="K352" s="22" t="s">
        <v>65</v>
      </c>
      <c r="L352" s="21" t="s">
        <v>97</v>
      </c>
      <c r="M352" s="21" t="s">
        <v>734</v>
      </c>
      <c r="N352" s="36">
        <v>46015</v>
      </c>
      <c r="O352" s="36">
        <v>46016</v>
      </c>
      <c r="P352" s="21" t="s">
        <v>75</v>
      </c>
      <c r="Q352" s="37" t="s">
        <v>735</v>
      </c>
      <c r="R352" s="21" t="s">
        <v>790</v>
      </c>
      <c r="S352" s="21" t="s">
        <v>92</v>
      </c>
      <c r="T352" s="21" t="s">
        <v>95</v>
      </c>
      <c r="U352" s="21">
        <v>65</v>
      </c>
      <c r="V352" s="21" t="s">
        <v>736</v>
      </c>
      <c r="W352" s="28">
        <v>110430</v>
      </c>
      <c r="X352" s="19" t="str">
        <f>IFERROR(VLOOKUP(W352,'Personel Bilgi'!A:B,2,0),"---")</f>
        <v>SELCAN BULUT</v>
      </c>
      <c r="Y352" s="19" t="str">
        <f>IFERROR(VLOOKUP(W352,'Personel Bilgi'!A:C,3,0),"---")</f>
        <v>YAPRAK KARAKOC</v>
      </c>
      <c r="Z352" s="22" t="s">
        <v>95</v>
      </c>
      <c r="AA352" s="22" t="s">
        <v>617</v>
      </c>
      <c r="AB352" s="22" t="s">
        <v>65</v>
      </c>
      <c r="AC352" s="21" t="s">
        <v>97</v>
      </c>
      <c r="AD352" s="21" t="s">
        <v>734</v>
      </c>
    </row>
    <row r="353" spans="1:30" x14ac:dyDescent="0.25">
      <c r="A353" s="19" t="s">
        <v>11</v>
      </c>
      <c r="B353" s="22" t="s">
        <v>1070</v>
      </c>
      <c r="C353" s="28">
        <v>5512210009</v>
      </c>
      <c r="D353" s="19" t="s">
        <v>14</v>
      </c>
      <c r="E353" s="19" t="str">
        <f>IFERROR(VLOOKUP(D353,Tanımlar!C:D,2,0),"- - -")</f>
        <v>DAĞITIM</v>
      </c>
      <c r="F353" s="28">
        <v>500192</v>
      </c>
      <c r="G353" s="28" t="str">
        <f>IFERROR(VLOOKUP(F353,'Personel Bilgi'!A:B,2,0),"- - - ")</f>
        <v>SEYDA ARSLAN</v>
      </c>
      <c r="H353" s="28" t="str">
        <f>IFERROR(VLOOKUP(F353,'Personel Bilgi'!A:D,3,0),"- - -")</f>
        <v>TURGUT AKDAG</v>
      </c>
      <c r="I353" s="28" t="str">
        <f>IFERROR(VLOOKUP(F353,'Personel Bilgi'!A:D,4,0),"- - -")</f>
        <v>ERZURUM</v>
      </c>
      <c r="J353" s="28" t="str">
        <f>IFERROR(VLOOKUP(F353,'Personel Bilgi'!A:E,5,0),"- - -")</f>
        <v>MÜŞTERİ TEMSİLCİSİ</v>
      </c>
      <c r="K353" s="22" t="s">
        <v>54</v>
      </c>
      <c r="L353" s="22" t="s">
        <v>41</v>
      </c>
      <c r="M353" s="22" t="s">
        <v>42</v>
      </c>
      <c r="N353" s="36">
        <v>46017</v>
      </c>
      <c r="O353" s="36">
        <v>46017</v>
      </c>
      <c r="P353" s="21" t="s">
        <v>1145</v>
      </c>
      <c r="Q353" s="37" t="s">
        <v>735</v>
      </c>
      <c r="R353" s="19" t="s">
        <v>86</v>
      </c>
      <c r="S353" s="21" t="s">
        <v>92</v>
      </c>
      <c r="T353" s="21" t="s">
        <v>94</v>
      </c>
      <c r="U353" s="21">
        <v>0</v>
      </c>
      <c r="V353" s="21" t="s">
        <v>736</v>
      </c>
      <c r="W353" s="19">
        <v>111204</v>
      </c>
      <c r="X353" s="19" t="str">
        <f>IFERROR(VLOOKUP(W353,'Personel Bilgi'!A:B,2,0),"---")</f>
        <v>FEVZI KOCU</v>
      </c>
      <c r="Y353" s="19" t="str">
        <f>IFERROR(VLOOKUP(W353,'Personel Bilgi'!A:C,3,0),"---")</f>
        <v>SEVCAN BULUT</v>
      </c>
      <c r="Z353" s="22" t="s">
        <v>95</v>
      </c>
      <c r="AA353" s="22" t="s">
        <v>617</v>
      </c>
      <c r="AB353" s="22" t="s">
        <v>54</v>
      </c>
      <c r="AC353" s="22" t="s">
        <v>41</v>
      </c>
      <c r="AD353" s="22" t="s">
        <v>42</v>
      </c>
    </row>
    <row r="354" spans="1:30" x14ac:dyDescent="0.25">
      <c r="A354" s="19" t="s">
        <v>11</v>
      </c>
      <c r="B354" s="28" t="s">
        <v>1071</v>
      </c>
      <c r="C354" s="28">
        <v>5446773701</v>
      </c>
      <c r="D354" s="19" t="s">
        <v>12</v>
      </c>
      <c r="E354" s="19" t="str">
        <f>IFERROR(VLOOKUP(D354,Tanımlar!C:D,2,0),"- - -")</f>
        <v>DAĞITIM</v>
      </c>
      <c r="F354" s="28">
        <v>500137</v>
      </c>
      <c r="G354" s="28" t="str">
        <f>IFERROR(VLOOKUP(F354,'Personel Bilgi'!A:B,2,0),"- - - ")</f>
        <v>YAGMUR ATMACA</v>
      </c>
      <c r="H354" s="28" t="str">
        <f>IFERROR(VLOOKUP(F354,'Personel Bilgi'!A:D,3,0),"- - -")</f>
        <v>SAMET KOCABEYOGLU</v>
      </c>
      <c r="I354" s="28" t="str">
        <f>IFERROR(VLOOKUP(F354,'Personel Bilgi'!A:D,4,0),"- - -")</f>
        <v>ERZURUM</v>
      </c>
      <c r="J354" s="28" t="str">
        <f>IFERROR(VLOOKUP(F354,'Personel Bilgi'!A:E,5,0),"- - -")</f>
        <v>MÜŞTERİ TEMSİLCİSİ</v>
      </c>
      <c r="K354" s="22" t="s">
        <v>64</v>
      </c>
      <c r="L354" s="22" t="s">
        <v>41</v>
      </c>
      <c r="M354" s="22" t="s">
        <v>42</v>
      </c>
      <c r="N354" s="36">
        <v>46007</v>
      </c>
      <c r="O354" s="36">
        <v>46017</v>
      </c>
      <c r="P354" s="21" t="s">
        <v>1145</v>
      </c>
      <c r="Q354" s="37" t="s">
        <v>735</v>
      </c>
      <c r="R354" s="19" t="s">
        <v>86</v>
      </c>
      <c r="S354" s="21" t="s">
        <v>92</v>
      </c>
      <c r="T354" s="21" t="s">
        <v>94</v>
      </c>
      <c r="U354" s="21">
        <v>0</v>
      </c>
      <c r="V354" s="21" t="s">
        <v>736</v>
      </c>
      <c r="W354" s="19">
        <v>500046</v>
      </c>
      <c r="X354" s="19" t="str">
        <f>IFERROR(VLOOKUP(W354,'Personel Bilgi'!A:B,2,0),"---")</f>
        <v>ESRA TOPAL</v>
      </c>
      <c r="Y354" s="19" t="str">
        <f>IFERROR(VLOOKUP(W354,'Personel Bilgi'!A:C,3,0),"---")</f>
        <v>MEHMET ALI SAVAN</v>
      </c>
      <c r="Z354" s="22" t="s">
        <v>94</v>
      </c>
      <c r="AA354" s="22" t="s">
        <v>616</v>
      </c>
      <c r="AB354" s="22" t="s">
        <v>64</v>
      </c>
      <c r="AC354" s="22" t="s">
        <v>41</v>
      </c>
      <c r="AD354" s="22" t="s">
        <v>42</v>
      </c>
    </row>
    <row r="355" spans="1:30" x14ac:dyDescent="0.25">
      <c r="A355" s="19" t="s">
        <v>11</v>
      </c>
      <c r="B355" s="28" t="s">
        <v>1072</v>
      </c>
      <c r="C355" s="28">
        <v>5492200334</v>
      </c>
      <c r="D355" s="19" t="s">
        <v>14</v>
      </c>
      <c r="E355" s="19" t="str">
        <f>IFERROR(VLOOKUP(D355,Tanımlar!C:D,2,0),"- - -")</f>
        <v>DAĞITIM</v>
      </c>
      <c r="F355" s="28">
        <v>500194</v>
      </c>
      <c r="G355" s="28" t="str">
        <f>IFERROR(VLOOKUP(F355,'Personel Bilgi'!A:B,2,0),"- - - ")</f>
        <v>TAHA BUGRA OZGUNDOGDU</v>
      </c>
      <c r="H355" s="28" t="str">
        <f>IFERROR(VLOOKUP(F355,'Personel Bilgi'!A:D,3,0),"- - -")</f>
        <v>TURGUT AKDAG</v>
      </c>
      <c r="I355" s="28" t="str">
        <f>IFERROR(VLOOKUP(F355,'Personel Bilgi'!A:D,4,0),"- - -")</f>
        <v>ERZURUM</v>
      </c>
      <c r="J355" s="28" t="str">
        <f>IFERROR(VLOOKUP(F355,'Personel Bilgi'!A:E,5,0),"- - -")</f>
        <v>MÜŞTERİ TEMSİLCİSİ</v>
      </c>
      <c r="K355" s="22" t="s">
        <v>70</v>
      </c>
      <c r="L355" s="22" t="s">
        <v>47</v>
      </c>
      <c r="M355" s="21" t="s">
        <v>603</v>
      </c>
      <c r="N355" s="36">
        <v>46017</v>
      </c>
      <c r="O355" s="36">
        <v>46017</v>
      </c>
      <c r="P355" s="21" t="s">
        <v>80</v>
      </c>
      <c r="Q355" s="37" t="s">
        <v>735</v>
      </c>
      <c r="R355" s="19" t="s">
        <v>86</v>
      </c>
      <c r="S355" s="21" t="s">
        <v>92</v>
      </c>
      <c r="T355" s="21" t="s">
        <v>95</v>
      </c>
      <c r="U355" s="21">
        <v>58</v>
      </c>
      <c r="V355" s="21" t="s">
        <v>736</v>
      </c>
      <c r="W355" s="19">
        <v>500194</v>
      </c>
      <c r="X355" s="19" t="str">
        <f>IFERROR(VLOOKUP(W355,'Personel Bilgi'!A:B,2,0),"---")</f>
        <v>TAHA BUGRA OZGUNDOGDU</v>
      </c>
      <c r="Y355" s="19" t="str">
        <f>IFERROR(VLOOKUP(W355,'Personel Bilgi'!A:C,3,0),"---")</f>
        <v>TURGUT AKDAG</v>
      </c>
      <c r="Z355" s="22" t="s">
        <v>94</v>
      </c>
      <c r="AA355" s="22" t="s">
        <v>616</v>
      </c>
      <c r="AB355" s="22" t="s">
        <v>70</v>
      </c>
      <c r="AC355" s="22" t="s">
        <v>47</v>
      </c>
      <c r="AD355" s="21" t="s">
        <v>603</v>
      </c>
    </row>
    <row r="356" spans="1:30" x14ac:dyDescent="0.25">
      <c r="A356" s="19" t="s">
        <v>11</v>
      </c>
      <c r="B356" s="28" t="s">
        <v>1074</v>
      </c>
      <c r="C356" s="28">
        <v>5336520315</v>
      </c>
      <c r="D356" s="19" t="s">
        <v>13</v>
      </c>
      <c r="E356" s="19" t="str">
        <f>IFERROR(VLOOKUP(D356,Tanımlar!C:D,2,0),"- - -")</f>
        <v>PERAKENDE</v>
      </c>
      <c r="F356" s="28">
        <v>600434</v>
      </c>
      <c r="G356" s="28" t="str">
        <f>IFERROR(VLOOKUP(F356,'Personel Bilgi'!A:B,2,0),"- - - ")</f>
        <v>BERK VAROGLU</v>
      </c>
      <c r="H356" s="28" t="str">
        <f>IFERROR(VLOOKUP(F356,'Personel Bilgi'!A:D,3,0),"- - -")</f>
        <v>ASYA DAG</v>
      </c>
      <c r="I356" s="28" t="str">
        <f>IFERROR(VLOOKUP(F356,'Personel Bilgi'!A:D,4,0),"- - -")</f>
        <v>ANKARA</v>
      </c>
      <c r="J356" s="28" t="str">
        <f>IFERROR(VLOOKUP(F356,'Personel Bilgi'!A:E,5,0),"- - -")</f>
        <v>UZMAN MÜŞTERİ TEMSİLCİSİ</v>
      </c>
      <c r="K356" s="22" t="s">
        <v>64</v>
      </c>
      <c r="L356" s="21" t="s">
        <v>97</v>
      </c>
      <c r="M356" s="21" t="s">
        <v>734</v>
      </c>
      <c r="N356" s="36">
        <v>46016</v>
      </c>
      <c r="O356" s="36">
        <v>46020</v>
      </c>
      <c r="P356" s="19" t="s">
        <v>79</v>
      </c>
      <c r="Q356" s="37" t="s">
        <v>735</v>
      </c>
      <c r="R356" s="19" t="s">
        <v>86</v>
      </c>
      <c r="S356" s="21" t="s">
        <v>92</v>
      </c>
      <c r="T356" s="21" t="s">
        <v>94</v>
      </c>
      <c r="U356" s="21">
        <v>0</v>
      </c>
      <c r="V356" s="21" t="s">
        <v>736</v>
      </c>
      <c r="W356" s="19">
        <v>210022</v>
      </c>
      <c r="X356" s="19" t="str">
        <f>IFERROR(VLOOKUP(W356,'Personel Bilgi'!A:B,2,0),"---")</f>
        <v>IRFAN YILDIZ</v>
      </c>
      <c r="Y356" s="19" t="str">
        <f>IFERROR(VLOOKUP(W356,'Personel Bilgi'!A:C,3,0),"---")</f>
        <v>SEVCAN BULUT</v>
      </c>
      <c r="Z356" s="22" t="s">
        <v>95</v>
      </c>
      <c r="AA356" s="22" t="s">
        <v>617</v>
      </c>
      <c r="AB356" s="22" t="s">
        <v>64</v>
      </c>
      <c r="AC356" s="21" t="s">
        <v>97</v>
      </c>
      <c r="AD356" s="21" t="s">
        <v>734</v>
      </c>
    </row>
    <row r="357" spans="1:30" x14ac:dyDescent="0.25">
      <c r="A357" s="19" t="s">
        <v>11</v>
      </c>
      <c r="B357" s="28" t="s">
        <v>1073</v>
      </c>
      <c r="C357" s="28">
        <v>5015254133</v>
      </c>
      <c r="D357" s="19" t="s">
        <v>13</v>
      </c>
      <c r="E357" s="19" t="str">
        <f>IFERROR(VLOOKUP(D357,Tanımlar!C:D,2,0),"- - -")</f>
        <v>PERAKENDE</v>
      </c>
      <c r="F357" s="28">
        <v>111255</v>
      </c>
      <c r="G357" s="28" t="str">
        <f>IFERROR(VLOOKUP(F357,'Personel Bilgi'!A:B,2,0),"- - - ")</f>
        <v>BERIL CAN PADIR</v>
      </c>
      <c r="H357" s="28" t="str">
        <f>IFERROR(VLOOKUP(F357,'Personel Bilgi'!A:D,3,0),"- - -")</f>
        <v>DILAN ORNEK</v>
      </c>
      <c r="I357" s="28" t="str">
        <f>IFERROR(VLOOKUP(F357,'Personel Bilgi'!A:D,4,0),"- - -")</f>
        <v>KARS</v>
      </c>
      <c r="J357" s="28" t="str">
        <f>IFERROR(VLOOKUP(F357,'Personel Bilgi'!A:E,5,0),"- - -")</f>
        <v>MÜŞTERİ TEMSİLCİSİ</v>
      </c>
      <c r="K357" s="22" t="s">
        <v>65</v>
      </c>
      <c r="L357" s="21" t="s">
        <v>97</v>
      </c>
      <c r="M357" s="21" t="s">
        <v>734</v>
      </c>
      <c r="N357" s="36">
        <v>46015</v>
      </c>
      <c r="O357" s="36">
        <v>46020</v>
      </c>
      <c r="P357" s="21" t="s">
        <v>1145</v>
      </c>
      <c r="Q357" s="37" t="s">
        <v>735</v>
      </c>
      <c r="R357" s="19" t="s">
        <v>86</v>
      </c>
      <c r="S357" s="21" t="s">
        <v>92</v>
      </c>
      <c r="T357" s="21" t="s">
        <v>94</v>
      </c>
      <c r="U357" s="21">
        <v>0</v>
      </c>
      <c r="V357" s="21" t="s">
        <v>736</v>
      </c>
      <c r="W357" s="19">
        <v>111255</v>
      </c>
      <c r="X357" s="19" t="str">
        <f>IFERROR(VLOOKUP(W357,'Personel Bilgi'!A:B,2,0),"---")</f>
        <v>BERIL CAN PADIR</v>
      </c>
      <c r="Y357" s="19" t="str">
        <f>IFERROR(VLOOKUP(W357,'Personel Bilgi'!A:C,3,0),"---")</f>
        <v>DILAN ORNEK</v>
      </c>
      <c r="Z357" s="22" t="s">
        <v>94</v>
      </c>
      <c r="AA357" s="22" t="s">
        <v>616</v>
      </c>
      <c r="AB357" s="22" t="s">
        <v>65</v>
      </c>
      <c r="AC357" s="21" t="s">
        <v>97</v>
      </c>
      <c r="AD357" s="21" t="s">
        <v>734</v>
      </c>
    </row>
    <row r="358" spans="1:30" x14ac:dyDescent="0.25">
      <c r="A358" s="19" t="s">
        <v>11</v>
      </c>
      <c r="B358" s="28" t="s">
        <v>1075</v>
      </c>
      <c r="C358" s="28">
        <v>5322955709</v>
      </c>
      <c r="D358" s="19" t="s">
        <v>12</v>
      </c>
      <c r="E358" s="19" t="str">
        <f>IFERROR(VLOOKUP(D358,Tanımlar!C:D,2,0),"- - -")</f>
        <v>DAĞITIM</v>
      </c>
      <c r="F358" s="28">
        <v>500132</v>
      </c>
      <c r="G358" s="28" t="str">
        <f>IFERROR(VLOOKUP(F358,'Personel Bilgi'!A:B,2,0),"- - - ")</f>
        <v>SONGUL BEKCI</v>
      </c>
      <c r="H358" s="28" t="str">
        <f>IFERROR(VLOOKUP(F358,'Personel Bilgi'!A:D,3,0),"- - -")</f>
        <v>TURGUT AKDAG</v>
      </c>
      <c r="I358" s="28" t="str">
        <f>IFERROR(VLOOKUP(F358,'Personel Bilgi'!A:D,4,0),"- - -")</f>
        <v>ERZURUM</v>
      </c>
      <c r="J358" s="28" t="str">
        <f>IFERROR(VLOOKUP(F358,'Personel Bilgi'!A:E,5,0),"- - -")</f>
        <v>MÜŞTERİ TEMSİLCİSİ</v>
      </c>
      <c r="K358" s="22" t="s">
        <v>50</v>
      </c>
      <c r="L358" s="21" t="s">
        <v>97</v>
      </c>
      <c r="M358" s="21" t="s">
        <v>25</v>
      </c>
      <c r="N358" s="36">
        <v>46010</v>
      </c>
      <c r="O358" s="36">
        <v>46020</v>
      </c>
      <c r="P358" s="21" t="s">
        <v>1145</v>
      </c>
      <c r="Q358" s="37" t="s">
        <v>735</v>
      </c>
      <c r="R358" s="19" t="s">
        <v>86</v>
      </c>
      <c r="S358" s="21" t="s">
        <v>92</v>
      </c>
      <c r="T358" s="21" t="s">
        <v>94</v>
      </c>
      <c r="U358" s="21">
        <v>0</v>
      </c>
      <c r="V358" s="21" t="s">
        <v>736</v>
      </c>
      <c r="W358" s="19">
        <v>600277</v>
      </c>
      <c r="X358" s="19" t="str">
        <f>IFERROR(VLOOKUP(W358,'Personel Bilgi'!A:B,2,0),"---")</f>
        <v>DAMLAGUL YIGIT</v>
      </c>
      <c r="Y358" s="19" t="str">
        <f>IFERROR(VLOOKUP(W358,'Personel Bilgi'!A:C,3,0),"---")</f>
        <v>BUSRA ONDER</v>
      </c>
      <c r="Z358" s="22" t="s">
        <v>95</v>
      </c>
      <c r="AA358" s="22" t="s">
        <v>617</v>
      </c>
      <c r="AB358" s="22" t="s">
        <v>50</v>
      </c>
      <c r="AC358" s="21" t="s">
        <v>97</v>
      </c>
      <c r="AD358" s="21" t="s">
        <v>25</v>
      </c>
    </row>
    <row r="359" spans="1:30" x14ac:dyDescent="0.25">
      <c r="A359" s="19" t="s">
        <v>11</v>
      </c>
      <c r="B359" s="28" t="s">
        <v>1076</v>
      </c>
      <c r="C359" s="28">
        <v>5443414202</v>
      </c>
      <c r="D359" s="19" t="s">
        <v>12</v>
      </c>
      <c r="E359" s="19" t="str">
        <f>IFERROR(VLOOKUP(D359,Tanımlar!C:D,2,0),"- - -")</f>
        <v>DAĞITIM</v>
      </c>
      <c r="F359" s="28">
        <v>111252</v>
      </c>
      <c r="G359" s="28" t="str">
        <f>IFERROR(VLOOKUP(F359,'Personel Bilgi'!A:B,2,0),"- - - ")</f>
        <v>BARAN KOYUNCU</v>
      </c>
      <c r="H359" s="28" t="str">
        <f>IFERROR(VLOOKUP(F359,'Personel Bilgi'!A:D,3,0),"- - -")</f>
        <v>YAREN OZAYAG</v>
      </c>
      <c r="I359" s="28" t="str">
        <f>IFERROR(VLOOKUP(F359,'Personel Bilgi'!A:D,4,0),"- - -")</f>
        <v>KARS</v>
      </c>
      <c r="J359" s="28" t="str">
        <f>IFERROR(VLOOKUP(F359,'Personel Bilgi'!A:E,5,0),"- - -")</f>
        <v>MÜŞTERİ TEMSİLCİSİ</v>
      </c>
      <c r="K359" s="22" t="s">
        <v>49</v>
      </c>
      <c r="L359" s="21" t="s">
        <v>97</v>
      </c>
      <c r="M359" s="21" t="s">
        <v>25</v>
      </c>
      <c r="N359" s="36">
        <v>46018</v>
      </c>
      <c r="O359" s="36">
        <v>46020</v>
      </c>
      <c r="P359" s="21" t="s">
        <v>1145</v>
      </c>
      <c r="Q359" s="37" t="s">
        <v>735</v>
      </c>
      <c r="R359" s="19" t="s">
        <v>86</v>
      </c>
      <c r="S359" s="21" t="s">
        <v>92</v>
      </c>
      <c r="T359" s="21" t="s">
        <v>94</v>
      </c>
      <c r="U359" s="21">
        <v>0</v>
      </c>
      <c r="V359" s="21" t="s">
        <v>736</v>
      </c>
      <c r="W359" s="19">
        <v>111163</v>
      </c>
      <c r="X359" s="19" t="str">
        <f>IFERROR(VLOOKUP(W359,'Personel Bilgi'!A:B,2,0),"---")</f>
        <v>KEZBAN DEMIR</v>
      </c>
      <c r="Y359" s="19" t="str">
        <f>IFERROR(VLOOKUP(W359,'Personel Bilgi'!A:C,3,0),"---")</f>
        <v>YAREN OZAYAG</v>
      </c>
      <c r="Z359" s="22" t="s">
        <v>95</v>
      </c>
      <c r="AA359" s="22" t="s">
        <v>617</v>
      </c>
      <c r="AB359" s="22" t="s">
        <v>49</v>
      </c>
      <c r="AC359" s="21" t="s">
        <v>97</v>
      </c>
      <c r="AD359" s="21" t="s">
        <v>25</v>
      </c>
    </row>
    <row r="360" spans="1:30" x14ac:dyDescent="0.25">
      <c r="A360" s="19" t="s">
        <v>11</v>
      </c>
      <c r="B360" s="28" t="s">
        <v>1077</v>
      </c>
      <c r="C360" s="28">
        <v>5387250909</v>
      </c>
      <c r="D360" s="19" t="s">
        <v>12</v>
      </c>
      <c r="E360" s="19" t="str">
        <f>IFERROR(VLOOKUP(D360,Tanımlar!C:D,2,0),"- - -")</f>
        <v>DAĞITIM</v>
      </c>
      <c r="F360" s="28">
        <v>210021</v>
      </c>
      <c r="G360" s="28" t="str">
        <f>IFERROR(VLOOKUP(F360,'Personel Bilgi'!A:B,2,0),"- - - ")</f>
        <v>HUSEYIN AKBULUT</v>
      </c>
      <c r="H360" s="28" t="str">
        <f>IFERROR(VLOOKUP(F360,'Personel Bilgi'!A:D,3,0),"- - -")</f>
        <v>KURTHAN FERDI CIHANTIMUR</v>
      </c>
      <c r="I360" s="28" t="str">
        <f>IFERROR(VLOOKUP(F360,'Personel Bilgi'!A:D,4,0),"- - -")</f>
        <v>KARS</v>
      </c>
      <c r="J360" s="28" t="str">
        <f>IFERROR(VLOOKUP(F360,'Personel Bilgi'!A:E,5,0),"- - -")</f>
        <v>TAKIM LİDERİ</v>
      </c>
      <c r="K360" s="22" t="s">
        <v>49</v>
      </c>
      <c r="L360" s="22" t="s">
        <v>41</v>
      </c>
      <c r="M360" s="22" t="s">
        <v>42</v>
      </c>
      <c r="N360" s="36">
        <v>46019</v>
      </c>
      <c r="O360" s="36">
        <v>46020</v>
      </c>
      <c r="P360" s="21" t="s">
        <v>1145</v>
      </c>
      <c r="Q360" s="37" t="s">
        <v>735</v>
      </c>
      <c r="R360" s="19" t="s">
        <v>86</v>
      </c>
      <c r="S360" s="21" t="s">
        <v>92</v>
      </c>
      <c r="T360" s="21" t="s">
        <v>95</v>
      </c>
      <c r="U360" s="21">
        <v>83</v>
      </c>
      <c r="V360" s="21" t="s">
        <v>736</v>
      </c>
      <c r="W360" s="28">
        <v>210021</v>
      </c>
      <c r="X360" s="19" t="str">
        <f>IFERROR(VLOOKUP(W360,'Personel Bilgi'!A:B,2,0),"---")</f>
        <v>HUSEYIN AKBULUT</v>
      </c>
      <c r="Y360" s="19" t="str">
        <f>IFERROR(VLOOKUP(W360,'Personel Bilgi'!A:C,3,0),"---")</f>
        <v>KURTHAN FERDI CIHANTIMUR</v>
      </c>
      <c r="Z360" s="22" t="s">
        <v>94</v>
      </c>
      <c r="AA360" s="22" t="s">
        <v>616</v>
      </c>
      <c r="AB360" s="22" t="s">
        <v>49</v>
      </c>
      <c r="AC360" s="22" t="s">
        <v>41</v>
      </c>
      <c r="AD360" s="22" t="s">
        <v>42</v>
      </c>
    </row>
    <row r="361" spans="1:30" x14ac:dyDescent="0.25">
      <c r="A361" s="19" t="s">
        <v>11</v>
      </c>
      <c r="B361" s="28" t="s">
        <v>1078</v>
      </c>
      <c r="C361" s="28">
        <v>5437723109</v>
      </c>
      <c r="D361" s="19" t="s">
        <v>16</v>
      </c>
      <c r="E361" s="19" t="str">
        <f>IFERROR(VLOOKUP(D361,Tanımlar!C:D,2,0),"- - -")</f>
        <v>DAĞITIM</v>
      </c>
      <c r="F361" s="28">
        <v>110377</v>
      </c>
      <c r="G361" s="28" t="str">
        <f>IFERROR(VLOOKUP(F361,'Personel Bilgi'!A:B,2,0),"- - - ")</f>
        <v>AYSE YILDIZ</v>
      </c>
      <c r="H361" s="28" t="str">
        <f>IFERROR(VLOOKUP(F361,'Personel Bilgi'!A:D,3,0),"- - -")</f>
        <v>SEVCAN BULUT</v>
      </c>
      <c r="I361" s="28" t="str">
        <f>IFERROR(VLOOKUP(F361,'Personel Bilgi'!A:D,4,0),"- - -")</f>
        <v>KARS</v>
      </c>
      <c r="J361" s="28" t="str">
        <f>IFERROR(VLOOKUP(F361,'Personel Bilgi'!A:E,5,0),"- - -")</f>
        <v>MÜŞTERİ TEMSİLCİSİ</v>
      </c>
      <c r="K361" s="22" t="s">
        <v>59</v>
      </c>
      <c r="L361" s="21" t="s">
        <v>41</v>
      </c>
      <c r="M361" s="21" t="s">
        <v>44</v>
      </c>
      <c r="N361" s="36">
        <v>46020</v>
      </c>
      <c r="O361" s="36">
        <v>46020</v>
      </c>
      <c r="P361" s="21" t="s">
        <v>81</v>
      </c>
      <c r="Q361" s="37" t="s">
        <v>735</v>
      </c>
      <c r="R361" s="19" t="s">
        <v>86</v>
      </c>
      <c r="S361" s="21" t="s">
        <v>92</v>
      </c>
      <c r="T361" s="21" t="s">
        <v>94</v>
      </c>
      <c r="U361" s="21">
        <v>0</v>
      </c>
      <c r="V361" s="21" t="s">
        <v>736</v>
      </c>
      <c r="W361" s="19">
        <v>111249</v>
      </c>
      <c r="X361" s="19" t="str">
        <f>IFERROR(VLOOKUP(W361,'Personel Bilgi'!A:B,2,0),"---")</f>
        <v>EYUPHAN ATAS</v>
      </c>
      <c r="Y361" s="19" t="str">
        <f>IFERROR(VLOOKUP(W361,'Personel Bilgi'!A:C,3,0),"---")</f>
        <v>SEDA SEBU</v>
      </c>
      <c r="Z361" s="22" t="s">
        <v>95</v>
      </c>
      <c r="AA361" s="22" t="s">
        <v>617</v>
      </c>
      <c r="AB361" s="22" t="s">
        <v>59</v>
      </c>
      <c r="AC361" s="21" t="s">
        <v>41</v>
      </c>
      <c r="AD361" s="21" t="s">
        <v>44</v>
      </c>
    </row>
    <row r="362" spans="1:30" x14ac:dyDescent="0.25">
      <c r="A362" s="19" t="s">
        <v>11</v>
      </c>
      <c r="B362" s="28" t="s">
        <v>1079</v>
      </c>
      <c r="C362" s="28">
        <v>5332578385</v>
      </c>
      <c r="D362" s="19" t="s">
        <v>12</v>
      </c>
      <c r="E362" s="19" t="str">
        <f>IFERROR(VLOOKUP(D362,Tanımlar!C:D,2,0),"- - -")</f>
        <v>DAĞITIM</v>
      </c>
      <c r="F362" s="28">
        <v>600353</v>
      </c>
      <c r="G362" s="28" t="str">
        <f>IFERROR(VLOOKUP(F362,'Personel Bilgi'!A:B,2,0),"- - - ")</f>
        <v>GULFIDAN CANBOLAT</v>
      </c>
      <c r="H362" s="28" t="str">
        <f>IFERROR(VLOOKUP(F362,'Personel Bilgi'!A:D,3,0),"- - -")</f>
        <v>BUSRA ONDER</v>
      </c>
      <c r="I362" s="28" t="str">
        <f>IFERROR(VLOOKUP(F362,'Personel Bilgi'!A:D,4,0),"- - -")</f>
        <v>ANKARA</v>
      </c>
      <c r="J362" s="28" t="str">
        <f>IFERROR(VLOOKUP(F362,'Personel Bilgi'!A:E,5,0),"- - -")</f>
        <v>MÜŞTERİ TEMSİLCİSİ</v>
      </c>
      <c r="K362" s="22" t="s">
        <v>50</v>
      </c>
      <c r="L362" s="22" t="s">
        <v>47</v>
      </c>
      <c r="M362" s="21" t="s">
        <v>603</v>
      </c>
      <c r="N362" s="36">
        <v>46020</v>
      </c>
      <c r="O362" s="36">
        <v>46020</v>
      </c>
      <c r="P362" s="21" t="s">
        <v>80</v>
      </c>
      <c r="Q362" s="37" t="s">
        <v>735</v>
      </c>
      <c r="R362" s="19" t="s">
        <v>86</v>
      </c>
      <c r="S362" s="21" t="s">
        <v>92</v>
      </c>
      <c r="T362" s="21" t="s">
        <v>95</v>
      </c>
      <c r="U362" s="21">
        <v>100</v>
      </c>
      <c r="V362" s="21" t="s">
        <v>736</v>
      </c>
      <c r="W362" s="28">
        <v>600353</v>
      </c>
      <c r="X362" s="19" t="str">
        <f>IFERROR(VLOOKUP(W362,'Personel Bilgi'!A:B,2,0),"---")</f>
        <v>GULFIDAN CANBOLAT</v>
      </c>
      <c r="Y362" s="19" t="str">
        <f>IFERROR(VLOOKUP(W362,'Personel Bilgi'!A:C,3,0),"---")</f>
        <v>BUSRA ONDER</v>
      </c>
      <c r="Z362" s="22" t="s">
        <v>95</v>
      </c>
      <c r="AA362" s="22" t="s">
        <v>617</v>
      </c>
      <c r="AB362" s="22" t="s">
        <v>50</v>
      </c>
      <c r="AC362" s="22" t="s">
        <v>47</v>
      </c>
      <c r="AD362" s="21" t="s">
        <v>603</v>
      </c>
    </row>
    <row r="363" spans="1:30" x14ac:dyDescent="0.25">
      <c r="A363" s="19" t="s">
        <v>11</v>
      </c>
      <c r="B363" s="28" t="s">
        <v>1080</v>
      </c>
      <c r="C363" s="28">
        <v>5397770676</v>
      </c>
      <c r="D363" s="19" t="s">
        <v>14</v>
      </c>
      <c r="E363" s="19" t="str">
        <f>IFERROR(VLOOKUP(D363,Tanımlar!C:D,2,0),"- - -")</f>
        <v>DAĞITIM</v>
      </c>
      <c r="F363" s="28">
        <v>111156</v>
      </c>
      <c r="G363" s="28" t="str">
        <f>IFERROR(VLOOKUP(F363,'Personel Bilgi'!A:B,2,0),"- - - ")</f>
        <v>SEVIM TOK</v>
      </c>
      <c r="H363" s="28" t="str">
        <f>IFERROR(VLOOKUP(F363,'Personel Bilgi'!A:D,3,0),"- - -")</f>
        <v>CEYHAN AYRIC</v>
      </c>
      <c r="I363" s="28" t="str">
        <f>IFERROR(VLOOKUP(F363,'Personel Bilgi'!A:D,4,0),"- - -")</f>
        <v>KARS</v>
      </c>
      <c r="J363" s="28" t="str">
        <f>IFERROR(VLOOKUP(F363,'Personel Bilgi'!A:E,5,0),"- - -")</f>
        <v>MÜŞTERİ TEMSİLCİSİ</v>
      </c>
      <c r="K363" s="22" t="s">
        <v>49</v>
      </c>
      <c r="L363" s="22" t="s">
        <v>41</v>
      </c>
      <c r="M363" s="22" t="s">
        <v>42</v>
      </c>
      <c r="N363" s="36">
        <v>46020</v>
      </c>
      <c r="O363" s="36">
        <v>46020</v>
      </c>
      <c r="P363" s="21" t="s">
        <v>81</v>
      </c>
      <c r="Q363" s="37" t="s">
        <v>735</v>
      </c>
      <c r="R363" s="19" t="s">
        <v>86</v>
      </c>
      <c r="S363" s="21" t="s">
        <v>92</v>
      </c>
      <c r="T363" s="21" t="s">
        <v>94</v>
      </c>
      <c r="U363" s="21">
        <v>0</v>
      </c>
      <c r="V363" s="21" t="s">
        <v>736</v>
      </c>
      <c r="W363" s="19">
        <v>111145</v>
      </c>
      <c r="X363" s="19" t="str">
        <f>IFERROR(VLOOKUP(W363,'Personel Bilgi'!A:B,2,0),"---")</f>
        <v>HATICE AYAG</v>
      </c>
      <c r="Y363" s="19" t="str">
        <f>IFERROR(VLOOKUP(W363,'Personel Bilgi'!A:C,3,0),"---")</f>
        <v>ERCUMENT GUNESSU</v>
      </c>
      <c r="Z363" s="22" t="s">
        <v>95</v>
      </c>
      <c r="AA363" s="22" t="s">
        <v>617</v>
      </c>
      <c r="AB363" s="22" t="s">
        <v>49</v>
      </c>
      <c r="AC363" s="22" t="s">
        <v>41</v>
      </c>
      <c r="AD363" s="22" t="s">
        <v>42</v>
      </c>
    </row>
    <row r="364" spans="1:30" x14ac:dyDescent="0.25">
      <c r="A364" s="19" t="s">
        <v>11</v>
      </c>
      <c r="B364" s="28" t="s">
        <v>1081</v>
      </c>
      <c r="C364" s="28">
        <v>5533694165</v>
      </c>
      <c r="D364" s="19" t="s">
        <v>16</v>
      </c>
      <c r="E364" s="19" t="str">
        <f>IFERROR(VLOOKUP(D364,Tanımlar!C:D,2,0),"- - -")</f>
        <v>DAĞITIM</v>
      </c>
      <c r="F364" s="28">
        <v>111072</v>
      </c>
      <c r="G364" s="28" t="str">
        <f>IFERROR(VLOOKUP(F364,'Personel Bilgi'!A:B,2,0),"- - - ")</f>
        <v>ALI MURAT AKBULAK</v>
      </c>
      <c r="H364" s="28" t="str">
        <f>IFERROR(VLOOKUP(F364,'Personel Bilgi'!A:D,3,0),"- - -")</f>
        <v>SEVCAN BULUT</v>
      </c>
      <c r="I364" s="28" t="str">
        <f>IFERROR(VLOOKUP(F364,'Personel Bilgi'!A:D,4,0),"- - -")</f>
        <v>KARS</v>
      </c>
      <c r="J364" s="28" t="str">
        <f>IFERROR(VLOOKUP(F364,'Personel Bilgi'!A:E,5,0),"- - -")</f>
        <v>MÜŞTERİ TEMSİLCİSİ</v>
      </c>
      <c r="K364" s="22" t="s">
        <v>64</v>
      </c>
      <c r="L364" s="22" t="s">
        <v>41</v>
      </c>
      <c r="M364" s="21" t="s">
        <v>42</v>
      </c>
      <c r="N364" s="36">
        <v>46020</v>
      </c>
      <c r="O364" s="36">
        <v>46020</v>
      </c>
      <c r="P364" s="21" t="s">
        <v>81</v>
      </c>
      <c r="Q364" s="37" t="s">
        <v>735</v>
      </c>
      <c r="R364" s="19" t="s">
        <v>86</v>
      </c>
      <c r="S364" s="21" t="s">
        <v>93</v>
      </c>
      <c r="T364" s="21" t="s">
        <v>95</v>
      </c>
      <c r="U364" s="21" t="s">
        <v>735</v>
      </c>
      <c r="V364" s="21" t="s">
        <v>736</v>
      </c>
      <c r="W364" s="19">
        <v>110300</v>
      </c>
      <c r="X364" s="19" t="str">
        <f>IFERROR(VLOOKUP(W364,'Personel Bilgi'!A:B,2,0),"---")</f>
        <v>SEVCA BULUT</v>
      </c>
      <c r="Y364" s="19" t="str">
        <f>IFERROR(VLOOKUP(W364,'Personel Bilgi'!A:C,3,0),"---")</f>
        <v>SEVCA BULUT</v>
      </c>
      <c r="Z364" s="22" t="s">
        <v>95</v>
      </c>
      <c r="AA364" s="22" t="s">
        <v>617</v>
      </c>
      <c r="AB364" s="22" t="s">
        <v>64</v>
      </c>
      <c r="AC364" s="22" t="s">
        <v>41</v>
      </c>
      <c r="AD364" s="22" t="s">
        <v>42</v>
      </c>
    </row>
    <row r="365" spans="1:30" x14ac:dyDescent="0.25">
      <c r="A365" s="19" t="s">
        <v>11</v>
      </c>
      <c r="B365" s="28" t="s">
        <v>1082</v>
      </c>
      <c r="C365" s="28">
        <v>5353065255</v>
      </c>
      <c r="D365" s="22" t="s">
        <v>15</v>
      </c>
      <c r="E365" s="19" t="str">
        <f>IFERROR(VLOOKUP(D365,Tanımlar!C:D,2,0),"- - -")</f>
        <v>PERAKENDE</v>
      </c>
      <c r="F365" s="28">
        <v>111282</v>
      </c>
      <c r="G365" s="28" t="str">
        <f>IFERROR(VLOOKUP(F365,'Personel Bilgi'!A:B,2,0),"- - - ")</f>
        <v>SERPIL GUMUS</v>
      </c>
      <c r="H365" s="28" t="str">
        <f>IFERROR(VLOOKUP(F365,'Personel Bilgi'!A:D,3,0),"- - -")</f>
        <v>MUSTAFA OZAYAG</v>
      </c>
      <c r="I365" s="28" t="str">
        <f>IFERROR(VLOOKUP(F365,'Personel Bilgi'!A:D,4,0),"- - -")</f>
        <v>KARS</v>
      </c>
      <c r="J365" s="28" t="str">
        <f>IFERROR(VLOOKUP(F365,'Personel Bilgi'!A:E,5,0),"- - -")</f>
        <v>MÜŞTERİ TEMSİLCİSİ</v>
      </c>
      <c r="K365" s="22" t="s">
        <v>66</v>
      </c>
      <c r="L365" s="21" t="s">
        <v>97</v>
      </c>
      <c r="M365" s="21" t="s">
        <v>24</v>
      </c>
      <c r="N365" s="36">
        <v>46013</v>
      </c>
      <c r="O365" s="36">
        <v>46020</v>
      </c>
      <c r="P365" s="19" t="s">
        <v>79</v>
      </c>
      <c r="Q365" s="37" t="s">
        <v>735</v>
      </c>
      <c r="R365" s="19" t="s">
        <v>86</v>
      </c>
      <c r="S365" s="21" t="s">
        <v>92</v>
      </c>
      <c r="T365" s="21" t="s">
        <v>94</v>
      </c>
      <c r="U365" s="21">
        <v>0</v>
      </c>
      <c r="V365" s="21" t="s">
        <v>736</v>
      </c>
      <c r="W365" s="19">
        <v>111120</v>
      </c>
      <c r="X365" s="19" t="str">
        <f>IFERROR(VLOOKUP(W365,'Personel Bilgi'!A:B,2,0),"---")</f>
        <v>HAVVA AYDIN</v>
      </c>
      <c r="Y365" s="19" t="str">
        <f>IFERROR(VLOOKUP(W365,'Personel Bilgi'!A:C,3,0),"---")</f>
        <v>MUHAMMET AKSU</v>
      </c>
      <c r="Z365" s="22" t="s">
        <v>95</v>
      </c>
      <c r="AA365" s="22" t="s">
        <v>617</v>
      </c>
      <c r="AB365" s="22" t="s">
        <v>66</v>
      </c>
      <c r="AC365" s="21" t="s">
        <v>97</v>
      </c>
      <c r="AD365" s="21" t="s">
        <v>24</v>
      </c>
    </row>
    <row r="366" spans="1:30" x14ac:dyDescent="0.25">
      <c r="A366" s="19" t="s">
        <v>11</v>
      </c>
      <c r="B366" s="28" t="s">
        <v>1083</v>
      </c>
      <c r="C366" s="28">
        <v>5309368005</v>
      </c>
      <c r="D366" s="22" t="s">
        <v>15</v>
      </c>
      <c r="E366" s="19" t="str">
        <f>IFERROR(VLOOKUP(D366,Tanımlar!C:D,2,0),"- - -")</f>
        <v>PERAKENDE</v>
      </c>
      <c r="F366" s="28">
        <v>600462</v>
      </c>
      <c r="G366" s="28" t="str">
        <f>IFERROR(VLOOKUP(F366,'Personel Bilgi'!A:B,2,0),"- - - ")</f>
        <v>DAMLA GUNEY</v>
      </c>
      <c r="H366" s="28" t="str">
        <f>IFERROR(VLOOKUP(F366,'Personel Bilgi'!A:D,3,0),"- - -")</f>
        <v xml:space="preserve">İNAN UMUT ÖRNEK </v>
      </c>
      <c r="I366" s="28" t="str">
        <f>IFERROR(VLOOKUP(F366,'Personel Bilgi'!A:D,4,0),"- - -")</f>
        <v>ANKARA</v>
      </c>
      <c r="J366" s="28" t="str">
        <f>IFERROR(VLOOKUP(F366,'Personel Bilgi'!A:E,5,0),"- - -")</f>
        <v>MÜŞTERİ TEMSİLCİSİ</v>
      </c>
      <c r="K366" s="22" t="s">
        <v>65</v>
      </c>
      <c r="L366" s="22" t="s">
        <v>41</v>
      </c>
      <c r="M366" s="22" t="s">
        <v>42</v>
      </c>
      <c r="N366" s="36">
        <v>46017</v>
      </c>
      <c r="O366" s="36">
        <v>46020</v>
      </c>
      <c r="P366" s="21" t="s">
        <v>81</v>
      </c>
      <c r="Q366" s="37" t="s">
        <v>735</v>
      </c>
      <c r="R366" s="19" t="s">
        <v>86</v>
      </c>
      <c r="S366" s="21" t="s">
        <v>92</v>
      </c>
      <c r="T366" s="21" t="s">
        <v>94</v>
      </c>
      <c r="U366" s="21">
        <v>0</v>
      </c>
      <c r="V366" s="21" t="s">
        <v>736</v>
      </c>
      <c r="W366" s="28">
        <v>600462</v>
      </c>
      <c r="X366" s="19" t="str">
        <f>IFERROR(VLOOKUP(W366,'Personel Bilgi'!A:B,2,0),"---")</f>
        <v>DAMLA GUNEY</v>
      </c>
      <c r="Y366" s="19" t="str">
        <f>IFERROR(VLOOKUP(W366,'Personel Bilgi'!A:C,3,0),"---")</f>
        <v xml:space="preserve">İNAN UMUT ÖRNEK </v>
      </c>
      <c r="Z366" s="22" t="s">
        <v>94</v>
      </c>
      <c r="AA366" s="22" t="s">
        <v>616</v>
      </c>
      <c r="AB366" s="22" t="s">
        <v>65</v>
      </c>
      <c r="AC366" s="22" t="s">
        <v>41</v>
      </c>
      <c r="AD366" s="22" t="s">
        <v>42</v>
      </c>
    </row>
    <row r="367" spans="1:30" x14ac:dyDescent="0.25">
      <c r="A367" s="19" t="s">
        <v>11</v>
      </c>
      <c r="B367" s="22" t="s">
        <v>1084</v>
      </c>
      <c r="C367" s="28">
        <v>5432512921</v>
      </c>
      <c r="D367" s="22" t="s">
        <v>14</v>
      </c>
      <c r="E367" s="19" t="str">
        <f>IFERROR(VLOOKUP(D367,Tanımlar!C:D,2,0),"- - -")</f>
        <v>DAĞITIM</v>
      </c>
      <c r="F367" s="28">
        <v>500105</v>
      </c>
      <c r="G367" s="28" t="str">
        <f>IFERROR(VLOOKUP(F367,'Personel Bilgi'!A:B,2,0),"- - - ")</f>
        <v>MELISA CANVAR</v>
      </c>
      <c r="H367" s="28" t="str">
        <f>IFERROR(VLOOKUP(F367,'Personel Bilgi'!A:D,3,0),"- - -")</f>
        <v>METEHAN EMRE SIRMALI</v>
      </c>
      <c r="I367" s="28" t="str">
        <f>IFERROR(VLOOKUP(F367,'Personel Bilgi'!A:D,4,0),"- - -")</f>
        <v>ERZURUM</v>
      </c>
      <c r="J367" s="28" t="str">
        <f>IFERROR(VLOOKUP(F367,'Personel Bilgi'!A:E,5,0),"- - -")</f>
        <v>MÜŞTERİ TEMSİLCİSİ</v>
      </c>
      <c r="K367" s="22" t="s">
        <v>59</v>
      </c>
      <c r="L367" s="21" t="s">
        <v>41</v>
      </c>
      <c r="M367" s="21" t="s">
        <v>44</v>
      </c>
      <c r="N367" s="36">
        <v>46017</v>
      </c>
      <c r="O367" s="36">
        <v>46020</v>
      </c>
      <c r="P367" s="21" t="s">
        <v>81</v>
      </c>
      <c r="Q367" s="37" t="s">
        <v>735</v>
      </c>
      <c r="R367" s="21" t="s">
        <v>790</v>
      </c>
      <c r="S367" s="21" t="s">
        <v>92</v>
      </c>
      <c r="T367" s="21" t="s">
        <v>95</v>
      </c>
      <c r="U367" s="21">
        <v>100</v>
      </c>
      <c r="V367" s="21" t="s">
        <v>736</v>
      </c>
      <c r="W367" s="28">
        <v>500134</v>
      </c>
      <c r="X367" s="19" t="str">
        <f>IFERROR(VLOOKUP(W367,'Personel Bilgi'!A:B,2,0),"---")</f>
        <v>SEYDANUR CAKALOGLU</v>
      </c>
      <c r="Y367" s="19" t="str">
        <f>IFERROR(VLOOKUP(W367,'Personel Bilgi'!A:C,3,0),"---")</f>
        <v>TURGUT AKDAG</v>
      </c>
      <c r="Z367" s="22" t="s">
        <v>94</v>
      </c>
      <c r="AA367" s="22" t="s">
        <v>616</v>
      </c>
      <c r="AB367" s="22" t="s">
        <v>59</v>
      </c>
      <c r="AC367" s="21" t="s">
        <v>41</v>
      </c>
      <c r="AD367" s="21" t="s">
        <v>44</v>
      </c>
    </row>
    <row r="368" spans="1:30" x14ac:dyDescent="0.25">
      <c r="A368" s="19" t="s">
        <v>11</v>
      </c>
      <c r="B368" s="22" t="s">
        <v>1085</v>
      </c>
      <c r="C368" s="28">
        <v>5332966835</v>
      </c>
      <c r="D368" s="22" t="s">
        <v>14</v>
      </c>
      <c r="E368" s="19" t="str">
        <f>IFERROR(VLOOKUP(D368,Tanımlar!C:D,2,0),"- - -")</f>
        <v>DAĞITIM</v>
      </c>
      <c r="F368" s="28">
        <v>500130</v>
      </c>
      <c r="G368" s="28" t="str">
        <f>IFERROR(VLOOKUP(F368,'Personel Bilgi'!A:B,2,0),"- - - ")</f>
        <v>SEVIL IREM DURUK</v>
      </c>
      <c r="H368" s="28" t="str">
        <f>IFERROR(VLOOKUP(F368,'Personel Bilgi'!A:D,3,0),"- - -")</f>
        <v>SAMET KOCABEYOGLU</v>
      </c>
      <c r="I368" s="28" t="str">
        <f>IFERROR(VLOOKUP(F368,'Personel Bilgi'!A:D,4,0),"- - -")</f>
        <v>ERZURUM</v>
      </c>
      <c r="J368" s="28" t="str">
        <f>IFERROR(VLOOKUP(F368,'Personel Bilgi'!A:E,5,0),"- - -")</f>
        <v>MÜŞTERİ TEMSİLCİSİ</v>
      </c>
      <c r="K368" s="22" t="s">
        <v>50</v>
      </c>
      <c r="L368" s="21" t="s">
        <v>97</v>
      </c>
      <c r="M368" s="21" t="s">
        <v>734</v>
      </c>
      <c r="N368" s="36">
        <v>46018</v>
      </c>
      <c r="O368" s="36">
        <v>46020</v>
      </c>
      <c r="P368" s="19" t="s">
        <v>79</v>
      </c>
      <c r="Q368" s="37" t="s">
        <v>735</v>
      </c>
      <c r="R368" s="21" t="s">
        <v>790</v>
      </c>
      <c r="S368" s="21" t="s">
        <v>92</v>
      </c>
      <c r="T368" s="21" t="s">
        <v>94</v>
      </c>
      <c r="U368" s="21">
        <v>0</v>
      </c>
      <c r="V368" s="21" t="s">
        <v>736</v>
      </c>
      <c r="W368" s="28">
        <v>111239</v>
      </c>
      <c r="X368" s="19" t="str">
        <f>IFERROR(VLOOKUP(W368,'Personel Bilgi'!A:B,2,0),"---")</f>
        <v>HIRANUR KALKAN</v>
      </c>
      <c r="Y368" s="19" t="str">
        <f>IFERROR(VLOOKUP(W368,'Personel Bilgi'!A:C,3,0),"---")</f>
        <v>SEVCAN BULUT</v>
      </c>
      <c r="Z368" s="22" t="s">
        <v>94</v>
      </c>
      <c r="AA368" s="22" t="s">
        <v>616</v>
      </c>
      <c r="AB368" s="22" t="s">
        <v>50</v>
      </c>
      <c r="AC368" s="21" t="s">
        <v>97</v>
      </c>
      <c r="AD368" s="21" t="s">
        <v>734</v>
      </c>
    </row>
    <row r="369" spans="1:30" x14ac:dyDescent="0.25">
      <c r="A369" s="19" t="s">
        <v>11</v>
      </c>
      <c r="B369" s="22" t="s">
        <v>1086</v>
      </c>
      <c r="C369" s="28">
        <v>5301540094</v>
      </c>
      <c r="D369" s="22" t="s">
        <v>14</v>
      </c>
      <c r="E369" s="19" t="str">
        <f>IFERROR(VLOOKUP(D369,Tanımlar!C:D,2,0),"- - -")</f>
        <v>DAĞITIM</v>
      </c>
      <c r="F369" s="47">
        <v>111173</v>
      </c>
      <c r="G369" s="28" t="str">
        <f>IFERROR(VLOOKUP(F369,'Personel Bilgi'!A:B,2,0),"- - - ")</f>
        <v>CIGDEM CEVATOGLU</v>
      </c>
      <c r="H369" s="28" t="str">
        <f>IFERROR(VLOOKUP(F369,'Personel Bilgi'!A:D,3,0),"- - -")</f>
        <v>MUSTAFA OZAYAG</v>
      </c>
      <c r="I369" s="28" t="str">
        <f>IFERROR(VLOOKUP(F369,'Personel Bilgi'!A:D,4,0),"- - -")</f>
        <v>KARS</v>
      </c>
      <c r="J369" s="28" t="str">
        <f>IFERROR(VLOOKUP(F369,'Personel Bilgi'!A:E,5,0),"- - -")</f>
        <v>MÜŞTERİ TEMSİLCİSİ</v>
      </c>
      <c r="K369" s="22" t="s">
        <v>49</v>
      </c>
      <c r="L369" s="21" t="s">
        <v>97</v>
      </c>
      <c r="M369" s="21" t="s">
        <v>734</v>
      </c>
      <c r="N369" s="36">
        <v>46019</v>
      </c>
      <c r="O369" s="36">
        <v>46020</v>
      </c>
      <c r="P369" s="21" t="s">
        <v>1145</v>
      </c>
      <c r="Q369" s="37" t="s">
        <v>735</v>
      </c>
      <c r="R369" s="21" t="s">
        <v>790</v>
      </c>
      <c r="S369" s="21" t="s">
        <v>92</v>
      </c>
      <c r="T369" s="21" t="s">
        <v>95</v>
      </c>
      <c r="U369" s="21">
        <v>60</v>
      </c>
      <c r="V369" s="21" t="s">
        <v>736</v>
      </c>
      <c r="W369" s="21">
        <v>111211</v>
      </c>
      <c r="X369" s="19" t="str">
        <f>IFERROR(VLOOKUP(W369,'Personel Bilgi'!A:B,2,0),"---")</f>
        <v>SIBEL TAMCINAR</v>
      </c>
      <c r="Y369" s="19" t="str">
        <f>IFERROR(VLOOKUP(W369,'Personel Bilgi'!A:C,3,0),"---")</f>
        <v>YAPRAK KARAKOC</v>
      </c>
      <c r="Z369" s="22" t="s">
        <v>95</v>
      </c>
      <c r="AA369" s="22" t="s">
        <v>617</v>
      </c>
      <c r="AB369" s="22" t="s">
        <v>49</v>
      </c>
      <c r="AC369" s="21" t="s">
        <v>97</v>
      </c>
      <c r="AD369" s="21" t="s">
        <v>734</v>
      </c>
    </row>
    <row r="370" spans="1:30" x14ac:dyDescent="0.25">
      <c r="A370" s="19" t="s">
        <v>11</v>
      </c>
      <c r="B370" s="22" t="s">
        <v>1087</v>
      </c>
      <c r="C370" s="28">
        <v>5377365440</v>
      </c>
      <c r="D370" s="22" t="s">
        <v>14</v>
      </c>
      <c r="E370" s="19" t="str">
        <f>IFERROR(VLOOKUP(D370,Tanımlar!C:D,2,0),"- - -")</f>
        <v>DAĞITIM</v>
      </c>
      <c r="F370" s="47">
        <v>600661</v>
      </c>
      <c r="G370" s="28" t="str">
        <f>IFERROR(VLOOKUP(F370,'Personel Bilgi'!A:B,2,0),"- - - ")</f>
        <v>ZEYNEP TEKELI</v>
      </c>
      <c r="H370" s="28" t="str">
        <f>IFERROR(VLOOKUP(F370,'Personel Bilgi'!A:D,3,0),"- - -")</f>
        <v>BUSRA OLCULMUS</v>
      </c>
      <c r="I370" s="28" t="str">
        <f>IFERROR(VLOOKUP(F370,'Personel Bilgi'!A:D,4,0),"- - -")</f>
        <v>ANKARA</v>
      </c>
      <c r="J370" s="28" t="str">
        <f>IFERROR(VLOOKUP(F370,'Personel Bilgi'!A:E,5,0),"- - -")</f>
        <v>MÜŞTERİ TEMSİLCİSİ</v>
      </c>
      <c r="K370" s="22" t="s">
        <v>57</v>
      </c>
      <c r="L370" s="21" t="s">
        <v>41</v>
      </c>
      <c r="M370" s="21" t="s">
        <v>42</v>
      </c>
      <c r="N370" s="36">
        <v>46019</v>
      </c>
      <c r="O370" s="36">
        <v>46020</v>
      </c>
      <c r="P370" s="21" t="s">
        <v>1145</v>
      </c>
      <c r="Q370" s="37" t="s">
        <v>735</v>
      </c>
      <c r="R370" s="21" t="s">
        <v>790</v>
      </c>
      <c r="S370" s="21" t="s">
        <v>92</v>
      </c>
      <c r="T370" s="21" t="s">
        <v>95</v>
      </c>
      <c r="U370" s="21">
        <v>83</v>
      </c>
      <c r="V370" s="21" t="s">
        <v>736</v>
      </c>
      <c r="W370" s="47">
        <v>600661</v>
      </c>
      <c r="X370" s="19" t="str">
        <f>IFERROR(VLOOKUP(W370,'Personel Bilgi'!A:B,2,0),"---")</f>
        <v>ZEYNEP TEKELI</v>
      </c>
      <c r="Y370" s="19" t="str">
        <f>IFERROR(VLOOKUP(W370,'Personel Bilgi'!A:C,3,0),"---")</f>
        <v>BUSRA OLCULMUS</v>
      </c>
      <c r="Z370" s="22" t="s">
        <v>94</v>
      </c>
      <c r="AA370" s="22" t="s">
        <v>616</v>
      </c>
      <c r="AB370" s="22" t="s">
        <v>57</v>
      </c>
      <c r="AC370" s="21" t="s">
        <v>41</v>
      </c>
      <c r="AD370" s="21" t="s">
        <v>42</v>
      </c>
    </row>
    <row r="371" spans="1:30" x14ac:dyDescent="0.25">
      <c r="A371" s="19" t="s">
        <v>11</v>
      </c>
      <c r="B371" s="22" t="s">
        <v>1088</v>
      </c>
      <c r="C371" s="28">
        <v>5520678167</v>
      </c>
      <c r="D371" s="22" t="s">
        <v>14</v>
      </c>
      <c r="E371" s="19" t="str">
        <f>IFERROR(VLOOKUP(D371,Tanımlar!C:D,2,0),"- - -")</f>
        <v>DAĞITIM</v>
      </c>
      <c r="F371" s="47">
        <v>600506</v>
      </c>
      <c r="G371" s="28" t="str">
        <f>IFERROR(VLOOKUP(F371,'Personel Bilgi'!A:B,2,0),"- - - ")</f>
        <v>NURAY ARLI</v>
      </c>
      <c r="H371" s="28" t="str">
        <f>IFERROR(VLOOKUP(F371,'Personel Bilgi'!A:D,3,0),"- - -")</f>
        <v xml:space="preserve">İNAN UMUT ÖRNEK </v>
      </c>
      <c r="I371" s="28" t="str">
        <f>IFERROR(VLOOKUP(F371,'Personel Bilgi'!A:D,4,0),"- - -")</f>
        <v>ANKARA</v>
      </c>
      <c r="J371" s="28" t="str">
        <f>IFERROR(VLOOKUP(F371,'Personel Bilgi'!A:E,5,0),"- - -")</f>
        <v>TAKIM LİDERİ</v>
      </c>
      <c r="K371" s="22" t="s">
        <v>49</v>
      </c>
      <c r="L371" s="21" t="s">
        <v>41</v>
      </c>
      <c r="M371" s="21" t="s">
        <v>42</v>
      </c>
      <c r="N371" s="36">
        <v>46019</v>
      </c>
      <c r="O371" s="36">
        <v>46020</v>
      </c>
      <c r="P371" s="19" t="s">
        <v>79</v>
      </c>
      <c r="Q371" s="37" t="s">
        <v>735</v>
      </c>
      <c r="R371" s="21" t="s">
        <v>790</v>
      </c>
      <c r="S371" s="21" t="s">
        <v>92</v>
      </c>
      <c r="T371" s="21" t="s">
        <v>94</v>
      </c>
      <c r="U371" s="21">
        <v>0</v>
      </c>
      <c r="V371" s="21" t="s">
        <v>736</v>
      </c>
      <c r="W371" s="21">
        <v>500047</v>
      </c>
      <c r="X371" s="19" t="str">
        <f>IFERROR(VLOOKUP(W371,'Personel Bilgi'!A:B,2,0),"---")</f>
        <v>FATMA DELIOGLU</v>
      </c>
      <c r="Y371" s="19" t="str">
        <f>IFERROR(VLOOKUP(W371,'Personel Bilgi'!A:C,3,0),"---")</f>
        <v>MEHMET ALI SAVAN</v>
      </c>
      <c r="Z371" s="22" t="s">
        <v>95</v>
      </c>
      <c r="AA371" s="22" t="s">
        <v>617</v>
      </c>
      <c r="AB371" s="22" t="s">
        <v>49</v>
      </c>
      <c r="AC371" s="21" t="s">
        <v>41</v>
      </c>
      <c r="AD371" s="21" t="s">
        <v>42</v>
      </c>
    </row>
    <row r="372" spans="1:30" x14ac:dyDescent="0.25">
      <c r="A372" s="19" t="s">
        <v>11</v>
      </c>
      <c r="B372" s="22" t="s">
        <v>1089</v>
      </c>
      <c r="C372" s="28">
        <v>5349387400</v>
      </c>
      <c r="D372" s="22" t="s">
        <v>14</v>
      </c>
      <c r="E372" s="19" t="str">
        <f>IFERROR(VLOOKUP(D372,Tanımlar!C:D,2,0),"- - -")</f>
        <v>DAĞITIM</v>
      </c>
      <c r="F372" s="21">
        <v>500037</v>
      </c>
      <c r="G372" s="28" t="str">
        <f>IFERROR(VLOOKUP(F372,'Personel Bilgi'!A:B,2,0),"- - - ")</f>
        <v>SEYDANUR UCGUL</v>
      </c>
      <c r="H372" s="28" t="str">
        <f>IFERROR(VLOOKUP(F372,'Personel Bilgi'!A:D,3,0),"- - -")</f>
        <v>ERDOGAN DURUK</v>
      </c>
      <c r="I372" s="28" t="str">
        <f>IFERROR(VLOOKUP(F372,'Personel Bilgi'!A:D,4,0),"- - -")</f>
        <v>ERZURUM</v>
      </c>
      <c r="J372" s="28" t="str">
        <f>IFERROR(VLOOKUP(F372,'Personel Bilgi'!A:E,5,0),"- - -")</f>
        <v>MÜŞTERİ TEMSİLCİSİ</v>
      </c>
      <c r="K372" s="22" t="s">
        <v>49</v>
      </c>
      <c r="L372" s="21" t="s">
        <v>97</v>
      </c>
      <c r="M372" s="21" t="s">
        <v>734</v>
      </c>
      <c r="N372" s="36">
        <v>46019</v>
      </c>
      <c r="O372" s="36">
        <v>46020</v>
      </c>
      <c r="P372" s="21" t="s">
        <v>81</v>
      </c>
      <c r="Q372" s="37" t="s">
        <v>735</v>
      </c>
      <c r="R372" s="21" t="s">
        <v>790</v>
      </c>
      <c r="S372" s="21" t="s">
        <v>92</v>
      </c>
      <c r="T372" s="21" t="s">
        <v>95</v>
      </c>
      <c r="U372" s="21">
        <v>80</v>
      </c>
      <c r="V372" s="21" t="s">
        <v>736</v>
      </c>
      <c r="W372" s="21">
        <v>500037</v>
      </c>
      <c r="X372" s="19" t="str">
        <f>IFERROR(VLOOKUP(W372,'Personel Bilgi'!A:B,2,0),"---")</f>
        <v>SEYDANUR UCGUL</v>
      </c>
      <c r="Y372" s="19" t="str">
        <f>IFERROR(VLOOKUP(W372,'Personel Bilgi'!A:C,3,0),"---")</f>
        <v>ERDOGAN DURUK</v>
      </c>
      <c r="Z372" s="22" t="s">
        <v>95</v>
      </c>
      <c r="AA372" s="22" t="s">
        <v>617</v>
      </c>
      <c r="AB372" s="22" t="s">
        <v>49</v>
      </c>
      <c r="AC372" s="21" t="s">
        <v>97</v>
      </c>
      <c r="AD372" s="21" t="s">
        <v>734</v>
      </c>
    </row>
    <row r="373" spans="1:30" x14ac:dyDescent="0.25">
      <c r="A373" s="19" t="s">
        <v>11</v>
      </c>
      <c r="B373" s="22" t="s">
        <v>1089</v>
      </c>
      <c r="C373" s="28">
        <v>5349387400</v>
      </c>
      <c r="D373" s="22" t="s">
        <v>14</v>
      </c>
      <c r="E373" s="19" t="str">
        <f>IFERROR(VLOOKUP(D373,Tanımlar!C:D,2,0),"- - -")</f>
        <v>DAĞITIM</v>
      </c>
      <c r="F373" s="28">
        <v>111111</v>
      </c>
      <c r="G373" s="28" t="str">
        <f>IFERROR(VLOOKUP(F373,'Personel Bilgi'!A:B,2,0),"- - - ")</f>
        <v>BASAK INALPOLAT</v>
      </c>
      <c r="H373" s="28" t="str">
        <f>IFERROR(VLOOKUP(F373,'Personel Bilgi'!A:D,3,0),"- - -")</f>
        <v>YAREN OZAYAG</v>
      </c>
      <c r="I373" s="28" t="str">
        <f>IFERROR(VLOOKUP(F373,'Personel Bilgi'!A:D,4,0),"- - -")</f>
        <v>KARS</v>
      </c>
      <c r="J373" s="28" t="str">
        <f>IFERROR(VLOOKUP(F373,'Personel Bilgi'!A:E,5,0),"- - -")</f>
        <v>MÜŞTERİ TEMSİLCİSİ</v>
      </c>
      <c r="K373" s="22" t="s">
        <v>49</v>
      </c>
      <c r="L373" s="21" t="s">
        <v>97</v>
      </c>
      <c r="M373" s="21" t="s">
        <v>734</v>
      </c>
      <c r="N373" s="36">
        <v>46019</v>
      </c>
      <c r="O373" s="36">
        <v>46020</v>
      </c>
      <c r="P373" s="21" t="s">
        <v>81</v>
      </c>
      <c r="Q373" s="37" t="s">
        <v>735</v>
      </c>
      <c r="R373" s="21" t="s">
        <v>790</v>
      </c>
      <c r="S373" s="21" t="s">
        <v>92</v>
      </c>
      <c r="T373" s="21" t="s">
        <v>95</v>
      </c>
      <c r="U373" s="21">
        <v>100</v>
      </c>
      <c r="V373" s="21" t="s">
        <v>736</v>
      </c>
      <c r="W373" s="21">
        <v>500037</v>
      </c>
      <c r="X373" s="19" t="str">
        <f>IFERROR(VLOOKUP(W373,'Personel Bilgi'!A:B,2,0),"---")</f>
        <v>SEYDANUR UCGUL</v>
      </c>
      <c r="Y373" s="19" t="str">
        <f>IFERROR(VLOOKUP(W373,'Personel Bilgi'!A:C,3,0),"---")</f>
        <v>ERDOGAN DURUK</v>
      </c>
      <c r="Z373" s="22" t="s">
        <v>95</v>
      </c>
      <c r="AA373" s="22" t="s">
        <v>617</v>
      </c>
      <c r="AB373" s="22" t="s">
        <v>49</v>
      </c>
      <c r="AC373" s="21" t="s">
        <v>97</v>
      </c>
      <c r="AD373" s="21" t="s">
        <v>734</v>
      </c>
    </row>
    <row r="374" spans="1:30" x14ac:dyDescent="0.25">
      <c r="A374" s="19" t="s">
        <v>11</v>
      </c>
      <c r="B374" s="22" t="s">
        <v>1089</v>
      </c>
      <c r="C374" s="28">
        <v>5349387400</v>
      </c>
      <c r="D374" s="22" t="s">
        <v>14</v>
      </c>
      <c r="E374" s="19" t="str">
        <f>IFERROR(VLOOKUP(D374,Tanımlar!C:D,2,0),"- - -")</f>
        <v>DAĞITIM</v>
      </c>
      <c r="F374" s="21">
        <v>111228</v>
      </c>
      <c r="G374" s="28" t="str">
        <f>IFERROR(VLOOKUP(F374,'Personel Bilgi'!A:B,2,0),"- - - ")</f>
        <v>YUNUS EMRE TEK</v>
      </c>
      <c r="H374" s="28" t="str">
        <f>IFERROR(VLOOKUP(F374,'Personel Bilgi'!A:D,3,0),"- - -")</f>
        <v>CEYHAN AYRIC</v>
      </c>
      <c r="I374" s="28" t="str">
        <f>IFERROR(VLOOKUP(F374,'Personel Bilgi'!A:D,4,0),"- - -")</f>
        <v>KARS</v>
      </c>
      <c r="J374" s="28" t="str">
        <f>IFERROR(VLOOKUP(F374,'Personel Bilgi'!A:E,5,0),"- - -")</f>
        <v>MÜŞTERİ TEMSİLCİSİ</v>
      </c>
      <c r="K374" s="22" t="s">
        <v>49</v>
      </c>
      <c r="L374" s="21" t="s">
        <v>97</v>
      </c>
      <c r="M374" s="21" t="s">
        <v>734</v>
      </c>
      <c r="N374" s="36">
        <v>46019</v>
      </c>
      <c r="O374" s="36">
        <v>46020</v>
      </c>
      <c r="P374" s="21" t="s">
        <v>81</v>
      </c>
      <c r="Q374" s="37" t="s">
        <v>735</v>
      </c>
      <c r="R374" s="21" t="s">
        <v>790</v>
      </c>
      <c r="S374" s="21" t="s">
        <v>92</v>
      </c>
      <c r="T374" s="21" t="s">
        <v>95</v>
      </c>
      <c r="U374" s="21">
        <v>100</v>
      </c>
      <c r="V374" s="21" t="s">
        <v>736</v>
      </c>
      <c r="W374" s="21">
        <v>500037</v>
      </c>
      <c r="X374" s="19" t="str">
        <f>IFERROR(VLOOKUP(W374,'Personel Bilgi'!A:B,2,0),"---")</f>
        <v>SEYDANUR UCGUL</v>
      </c>
      <c r="Y374" s="19" t="str">
        <f>IFERROR(VLOOKUP(W374,'Personel Bilgi'!A:C,3,0),"---")</f>
        <v>ERDOGAN DURUK</v>
      </c>
      <c r="Z374" s="22" t="s">
        <v>95</v>
      </c>
      <c r="AA374" s="22" t="s">
        <v>617</v>
      </c>
      <c r="AB374" s="22" t="s">
        <v>49</v>
      </c>
      <c r="AC374" s="21" t="s">
        <v>97</v>
      </c>
      <c r="AD374" s="21" t="s">
        <v>734</v>
      </c>
    </row>
    <row r="375" spans="1:30" x14ac:dyDescent="0.25">
      <c r="A375" s="19" t="s">
        <v>11</v>
      </c>
      <c r="B375" s="21" t="s">
        <v>1090</v>
      </c>
      <c r="C375" s="21">
        <v>5466146030</v>
      </c>
      <c r="D375" s="22" t="s">
        <v>14</v>
      </c>
      <c r="E375" s="19" t="str">
        <f>IFERROR(VLOOKUP(D375,Tanımlar!C:D,2,0),"- - -")</f>
        <v>DAĞITIM</v>
      </c>
      <c r="F375" s="47">
        <v>111155</v>
      </c>
      <c r="G375" s="28" t="str">
        <f>IFERROR(VLOOKUP(F375,'Personel Bilgi'!A:B,2,0),"- - - ")</f>
        <v>SAMET TEKIN</v>
      </c>
      <c r="H375" s="28" t="str">
        <f>IFERROR(VLOOKUP(F375,'Personel Bilgi'!A:D,3,0),"- - -")</f>
        <v>SAFAK TOPTAS</v>
      </c>
      <c r="I375" s="28" t="str">
        <f>IFERROR(VLOOKUP(F375,'Personel Bilgi'!A:D,4,0),"- - -")</f>
        <v>KARS</v>
      </c>
      <c r="J375" s="28" t="str">
        <f>IFERROR(VLOOKUP(F375,'Personel Bilgi'!A:E,5,0),"- - -")</f>
        <v>MÜŞTERİ TEMSİLCİSİ</v>
      </c>
      <c r="K375" s="22" t="s">
        <v>49</v>
      </c>
      <c r="L375" s="21" t="s">
        <v>97</v>
      </c>
      <c r="M375" s="21" t="s">
        <v>734</v>
      </c>
      <c r="N375" s="36">
        <v>46020</v>
      </c>
      <c r="O375" s="36">
        <v>46020</v>
      </c>
      <c r="P375" s="21" t="s">
        <v>81</v>
      </c>
      <c r="Q375" s="37" t="s">
        <v>735</v>
      </c>
      <c r="R375" s="21" t="s">
        <v>790</v>
      </c>
      <c r="S375" s="21" t="s">
        <v>92</v>
      </c>
      <c r="T375" s="21" t="s">
        <v>95</v>
      </c>
      <c r="U375" s="21">
        <v>100</v>
      </c>
      <c r="V375" s="21" t="s">
        <v>736</v>
      </c>
      <c r="W375" s="47">
        <v>111155</v>
      </c>
      <c r="X375" s="19" t="str">
        <f>IFERROR(VLOOKUP(W375,'Personel Bilgi'!A:B,2,0),"---")</f>
        <v>SAMET TEKIN</v>
      </c>
      <c r="Y375" s="19" t="str">
        <f>IFERROR(VLOOKUP(W375,'Personel Bilgi'!A:C,3,0),"---")</f>
        <v>SAFAK TOPTAS</v>
      </c>
      <c r="Z375" s="22" t="s">
        <v>95</v>
      </c>
      <c r="AA375" s="22" t="s">
        <v>617</v>
      </c>
      <c r="AB375" s="22" t="s">
        <v>49</v>
      </c>
      <c r="AC375" s="21" t="s">
        <v>97</v>
      </c>
      <c r="AD375" s="21" t="s">
        <v>734</v>
      </c>
    </row>
    <row r="376" spans="1:30" x14ac:dyDescent="0.25">
      <c r="A376" s="19" t="s">
        <v>11</v>
      </c>
      <c r="B376" s="21" t="s">
        <v>1091</v>
      </c>
      <c r="C376" s="21">
        <v>5054167097</v>
      </c>
      <c r="D376" s="21" t="s">
        <v>12</v>
      </c>
      <c r="E376" s="19" t="str">
        <f>IFERROR(VLOOKUP(D376,Tanımlar!C:D,2,0),"- - -")</f>
        <v>DAĞITIM</v>
      </c>
      <c r="F376" s="21">
        <v>500073</v>
      </c>
      <c r="G376" s="22" t="s">
        <v>936</v>
      </c>
      <c r="H376" s="21" t="str">
        <f>IFERROR(VLOOKUP(F376,'Personel Bilgi'!A:D,3,0),"- - -")</f>
        <v>MUHAMMED TARIK KUÇUK</v>
      </c>
      <c r="I376" s="21" t="str">
        <f>IFERROR(VLOOKUP(F376,'Personel Bilgi'!A:D,4,0),"- - -")</f>
        <v>ERZURUM</v>
      </c>
      <c r="J376" s="21" t="str">
        <f>IFERROR(VLOOKUP(F376,'Personel Bilgi'!A:E,5,0),"- - -")</f>
        <v>TAKIM LİDERİ</v>
      </c>
      <c r="K376" s="21" t="s">
        <v>59</v>
      </c>
      <c r="L376" s="21" t="s">
        <v>97</v>
      </c>
      <c r="M376" s="21" t="s">
        <v>21</v>
      </c>
      <c r="N376" s="36">
        <v>46020</v>
      </c>
      <c r="O376" s="36">
        <v>46020</v>
      </c>
      <c r="P376" s="21" t="s">
        <v>81</v>
      </c>
      <c r="Q376" s="37" t="s">
        <v>735</v>
      </c>
      <c r="R376" s="21" t="s">
        <v>790</v>
      </c>
      <c r="S376" s="21" t="s">
        <v>93</v>
      </c>
      <c r="T376" s="21" t="s">
        <v>95</v>
      </c>
      <c r="U376" s="21" t="s">
        <v>735</v>
      </c>
      <c r="V376" s="21" t="s">
        <v>736</v>
      </c>
      <c r="W376" s="21">
        <v>500138</v>
      </c>
      <c r="X376" s="19" t="str">
        <f>IFERROR(VLOOKUP(W376,'Personel Bilgi'!A:B,2,0),"---")</f>
        <v>YAGMUR YILMAZ</v>
      </c>
      <c r="Y376" s="19" t="str">
        <f>IFERROR(VLOOKUP(W376,'Personel Bilgi'!A:C,3,0),"---")</f>
        <v>SAMET KOCABEYOGLU</v>
      </c>
      <c r="Z376" s="22" t="s">
        <v>95</v>
      </c>
      <c r="AA376" s="22" t="s">
        <v>617</v>
      </c>
      <c r="AB376" s="21" t="s">
        <v>59</v>
      </c>
      <c r="AC376" s="21" t="s">
        <v>97</v>
      </c>
      <c r="AD376" s="21" t="s">
        <v>21</v>
      </c>
    </row>
    <row r="377" spans="1:30" x14ac:dyDescent="0.25">
      <c r="A377" s="19" t="s">
        <v>11</v>
      </c>
      <c r="B377" s="21" t="s">
        <v>1092</v>
      </c>
      <c r="C377" s="21">
        <v>5323519069</v>
      </c>
      <c r="D377" s="19" t="s">
        <v>15</v>
      </c>
      <c r="E377" s="19" t="str">
        <f>IFERROR(VLOOKUP(D377,Tanımlar!C:D,2,0),"- - -")</f>
        <v>PERAKENDE</v>
      </c>
      <c r="F377" s="21">
        <v>111044</v>
      </c>
      <c r="G377" s="21" t="str">
        <f>IFERROR(VLOOKUP(F377,'Personel Bilgi'!A:B,2,0),"- - - ")</f>
        <v>MEHMET EKREM YALCIN</v>
      </c>
      <c r="H377" s="21" t="str">
        <f>IFERROR(VLOOKUP(F377,'Personel Bilgi'!A:D,3,0),"- - -")</f>
        <v>DILAN ORNEK</v>
      </c>
      <c r="I377" s="21" t="str">
        <f>IFERROR(VLOOKUP(F377,'Personel Bilgi'!A:D,4,0),"- - -")</f>
        <v>KARS</v>
      </c>
      <c r="J377" s="21" t="str">
        <f>IFERROR(VLOOKUP(F377,'Personel Bilgi'!A:E,5,0),"- - -")</f>
        <v>MÜŞTERİ TEMSİLCİSİ</v>
      </c>
      <c r="K377" s="22" t="s">
        <v>65</v>
      </c>
      <c r="L377" s="22" t="s">
        <v>47</v>
      </c>
      <c r="M377" s="21" t="s">
        <v>603</v>
      </c>
      <c r="N377" s="36">
        <v>46017</v>
      </c>
      <c r="O377" s="36">
        <v>46021</v>
      </c>
      <c r="P377" s="21" t="s">
        <v>80</v>
      </c>
      <c r="Q377" s="37" t="s">
        <v>735</v>
      </c>
      <c r="R377" s="19" t="s">
        <v>86</v>
      </c>
      <c r="S377" s="21" t="s">
        <v>92</v>
      </c>
      <c r="T377" s="21" t="s">
        <v>95</v>
      </c>
      <c r="U377" s="21">
        <v>100</v>
      </c>
      <c r="V377" s="21" t="s">
        <v>736</v>
      </c>
      <c r="W377" s="47">
        <v>110655</v>
      </c>
      <c r="X377" s="19" t="str">
        <f>IFERROR(VLOOKUP(W377,'Personel Bilgi'!A:B,2,0),"---")</f>
        <v>SERCAN AKBUGA</v>
      </c>
      <c r="Y377" s="19" t="str">
        <f>IFERROR(VLOOKUP(W377,'Personel Bilgi'!A:C,3,0),"---")</f>
        <v>MUSTAFA OZAYAG</v>
      </c>
      <c r="Z377" s="22" t="s">
        <v>95</v>
      </c>
      <c r="AA377" s="22" t="s">
        <v>617</v>
      </c>
      <c r="AB377" s="22" t="s">
        <v>65</v>
      </c>
      <c r="AC377" s="22" t="s">
        <v>47</v>
      </c>
      <c r="AD377" s="21" t="s">
        <v>603</v>
      </c>
    </row>
    <row r="378" spans="1:30" x14ac:dyDescent="0.25">
      <c r="A378" s="19" t="s">
        <v>11</v>
      </c>
      <c r="B378" s="21" t="s">
        <v>1093</v>
      </c>
      <c r="C378" s="21">
        <v>5318314895</v>
      </c>
      <c r="D378" s="22" t="s">
        <v>14</v>
      </c>
      <c r="E378" s="19" t="str">
        <f>IFERROR(VLOOKUP(D378,Tanımlar!C:D,2,0),"- - -")</f>
        <v>DAĞITIM</v>
      </c>
      <c r="F378" s="21">
        <v>500096</v>
      </c>
      <c r="G378" s="21" t="str">
        <f>IFERROR(VLOOKUP(F378,'Personel Bilgi'!A:B,2,0),"- - - ")</f>
        <v>FURKAN METEROGLU</v>
      </c>
      <c r="H378" s="21" t="str">
        <f>IFERROR(VLOOKUP(F378,'Personel Bilgi'!A:D,3,0),"- - -")</f>
        <v>MEHMET ALI SAVAN</v>
      </c>
      <c r="I378" s="21" t="str">
        <f>IFERROR(VLOOKUP(F378,'Personel Bilgi'!A:D,4,0),"- - -")</f>
        <v>ERZURUM</v>
      </c>
      <c r="J378" s="21" t="str">
        <f>IFERROR(VLOOKUP(F378,'Personel Bilgi'!A:E,5,0),"- - -")</f>
        <v>MÜŞTERİ TEMSİLCİSİ</v>
      </c>
      <c r="K378" s="22" t="s">
        <v>50</v>
      </c>
      <c r="L378" s="22" t="s">
        <v>47</v>
      </c>
      <c r="M378" s="21" t="s">
        <v>603</v>
      </c>
      <c r="N378" s="36">
        <v>46020</v>
      </c>
      <c r="O378" s="36">
        <v>46021</v>
      </c>
      <c r="P378" s="21" t="s">
        <v>75</v>
      </c>
      <c r="Q378" s="37" t="s">
        <v>735</v>
      </c>
      <c r="R378" s="19" t="s">
        <v>86</v>
      </c>
      <c r="S378" s="21" t="s">
        <v>92</v>
      </c>
      <c r="T378" s="21" t="s">
        <v>95</v>
      </c>
      <c r="U378" s="21">
        <v>75</v>
      </c>
      <c r="V378" s="21" t="s">
        <v>736</v>
      </c>
      <c r="W378" s="47">
        <v>500096</v>
      </c>
      <c r="X378" s="19" t="str">
        <f>IFERROR(VLOOKUP(W378,'Personel Bilgi'!A:B,2,0),"---")</f>
        <v>FURKAN METEROGLU</v>
      </c>
      <c r="Y378" s="19" t="str">
        <f>IFERROR(VLOOKUP(W378,'Personel Bilgi'!A:C,3,0),"---")</f>
        <v>MEHMET ALI SAVAN</v>
      </c>
      <c r="Z378" s="22" t="s">
        <v>95</v>
      </c>
      <c r="AA378" s="22" t="s">
        <v>617</v>
      </c>
      <c r="AB378" s="22" t="s">
        <v>50</v>
      </c>
      <c r="AC378" s="22" t="s">
        <v>47</v>
      </c>
      <c r="AD378" s="21" t="s">
        <v>603</v>
      </c>
    </row>
    <row r="379" spans="1:30" x14ac:dyDescent="0.25">
      <c r="A379" s="19" t="s">
        <v>11</v>
      </c>
      <c r="B379" s="21" t="s">
        <v>1094</v>
      </c>
      <c r="C379" s="21">
        <v>5535579818</v>
      </c>
      <c r="D379" s="19" t="s">
        <v>15</v>
      </c>
      <c r="E379" s="19" t="str">
        <f>IFERROR(VLOOKUP(D379,Tanımlar!C:D,2,0),"- - -")</f>
        <v>PERAKENDE</v>
      </c>
      <c r="F379" s="21">
        <v>111284</v>
      </c>
      <c r="G379" s="21" t="str">
        <f>IFERROR(VLOOKUP(F379,'Personel Bilgi'!A:B,2,0),"- - - ")</f>
        <v>NESLIHAN YAGAN</v>
      </c>
      <c r="H379" s="21" t="str">
        <f>IFERROR(VLOOKUP(F379,'Personel Bilgi'!A:D,3,0),"- - -")</f>
        <v>MUHAMMET AKSU</v>
      </c>
      <c r="I379" s="21" t="str">
        <f>IFERROR(VLOOKUP(F379,'Personel Bilgi'!A:D,4,0),"- - -")</f>
        <v>KARS</v>
      </c>
      <c r="J379" s="21" t="str">
        <f>IFERROR(VLOOKUP(F379,'Personel Bilgi'!A:E,5,0),"- - -")</f>
        <v>MÜŞTERİ TEMSİLCİSİ</v>
      </c>
      <c r="K379" s="21" t="s">
        <v>71</v>
      </c>
      <c r="L379" s="21" t="s">
        <v>96</v>
      </c>
      <c r="M379" s="27" t="s">
        <v>28</v>
      </c>
      <c r="N379" s="36">
        <v>46018</v>
      </c>
      <c r="O379" s="36">
        <v>46021</v>
      </c>
      <c r="P379" s="21" t="s">
        <v>1145</v>
      </c>
      <c r="Q379" s="37" t="s">
        <v>735</v>
      </c>
      <c r="R379" s="19" t="s">
        <v>86</v>
      </c>
      <c r="S379" s="21" t="s">
        <v>92</v>
      </c>
      <c r="T379" s="21" t="s">
        <v>95</v>
      </c>
      <c r="U379" s="21">
        <v>57</v>
      </c>
      <c r="V379" s="21" t="s">
        <v>736</v>
      </c>
      <c r="W379" s="21">
        <v>111284</v>
      </c>
      <c r="X379" s="19" t="str">
        <f>IFERROR(VLOOKUP(W379,'Personel Bilgi'!A:B,2,0),"---")</f>
        <v>NESLIHAN YAGAN</v>
      </c>
      <c r="Y379" s="19" t="str">
        <f>IFERROR(VLOOKUP(W379,'Personel Bilgi'!A:C,3,0),"---")</f>
        <v>MUHAMMET AKSU</v>
      </c>
      <c r="Z379" s="22" t="s">
        <v>94</v>
      </c>
      <c r="AA379" s="22" t="s">
        <v>616</v>
      </c>
      <c r="AB379" s="21" t="s">
        <v>71</v>
      </c>
      <c r="AC379" s="21" t="s">
        <v>96</v>
      </c>
      <c r="AD379" s="21" t="s">
        <v>28</v>
      </c>
    </row>
    <row r="380" spans="1:30" x14ac:dyDescent="0.25">
      <c r="A380" s="19" t="s">
        <v>11</v>
      </c>
      <c r="B380" s="21" t="s">
        <v>1095</v>
      </c>
      <c r="C380" s="21">
        <v>5322116924</v>
      </c>
      <c r="D380" s="19" t="s">
        <v>15</v>
      </c>
      <c r="E380" s="19" t="str">
        <f>IFERROR(VLOOKUP(D380,Tanımlar!C:D,2,0),"- - -")</f>
        <v>PERAKENDE</v>
      </c>
      <c r="F380" s="21">
        <v>600718</v>
      </c>
      <c r="G380" s="21" t="str">
        <f>IFERROR(VLOOKUP(F380,'Personel Bilgi'!A:B,2,0),"- - - ")</f>
        <v>AYSU GUN</v>
      </c>
      <c r="H380" s="21" t="str">
        <f>IFERROR(VLOOKUP(F380,'Personel Bilgi'!A:D,3,0),"- - -")</f>
        <v xml:space="preserve">İNAN UMUT ÖRNEK </v>
      </c>
      <c r="I380" s="21" t="str">
        <f>IFERROR(VLOOKUP(F380,'Personel Bilgi'!A:D,4,0),"- - -")</f>
        <v>ANKARA</v>
      </c>
      <c r="J380" s="21" t="str">
        <f>IFERROR(VLOOKUP(F380,'Personel Bilgi'!A:E,5,0),"- - -")</f>
        <v>MÜŞTERİ TEMSİLCİSİ</v>
      </c>
      <c r="K380" s="22" t="s">
        <v>72</v>
      </c>
      <c r="L380" s="21" t="s">
        <v>97</v>
      </c>
      <c r="M380" s="27" t="s">
        <v>734</v>
      </c>
      <c r="N380" s="36">
        <v>46017</v>
      </c>
      <c r="O380" s="36">
        <v>46021</v>
      </c>
      <c r="P380" s="21" t="s">
        <v>1145</v>
      </c>
      <c r="Q380" s="37" t="s">
        <v>735</v>
      </c>
      <c r="R380" s="19" t="s">
        <v>86</v>
      </c>
      <c r="S380" s="21" t="s">
        <v>92</v>
      </c>
      <c r="T380" s="21" t="s">
        <v>95</v>
      </c>
      <c r="U380" s="21">
        <v>58</v>
      </c>
      <c r="V380" s="21" t="s">
        <v>736</v>
      </c>
      <c r="W380" s="19">
        <v>600718</v>
      </c>
      <c r="X380" s="19" t="str">
        <f>IFERROR(VLOOKUP(W380,'Personel Bilgi'!A:B,2,0),"---")</f>
        <v>AYSU GUN</v>
      </c>
      <c r="Y380" s="19" t="str">
        <f>IFERROR(VLOOKUP(W380,'Personel Bilgi'!A:C,3,0),"---")</f>
        <v xml:space="preserve">İNAN UMUT ÖRNEK </v>
      </c>
      <c r="Z380" s="22" t="s">
        <v>94</v>
      </c>
      <c r="AA380" s="22" t="s">
        <v>616</v>
      </c>
      <c r="AB380" s="22" t="s">
        <v>72</v>
      </c>
      <c r="AC380" s="21" t="s">
        <v>97</v>
      </c>
      <c r="AD380" s="21" t="s">
        <v>734</v>
      </c>
    </row>
    <row r="381" spans="1:30" x14ac:dyDescent="0.25">
      <c r="A381" s="19" t="s">
        <v>11</v>
      </c>
      <c r="B381" s="21" t="s">
        <v>1096</v>
      </c>
      <c r="C381" s="21">
        <v>5059380236</v>
      </c>
      <c r="D381" s="19" t="s">
        <v>13</v>
      </c>
      <c r="E381" s="19" t="str">
        <f>IFERROR(VLOOKUP(D381,Tanımlar!C:D,2,0),"- - -")</f>
        <v>PERAKENDE</v>
      </c>
      <c r="F381" s="21">
        <v>600766</v>
      </c>
      <c r="G381" s="21" t="str">
        <f>IFERROR(VLOOKUP(F381,'Personel Bilgi'!A:B,2,0),"- - - ")</f>
        <v>SADIK FURKAN OZKAN</v>
      </c>
      <c r="H381" s="21" t="str">
        <f>IFERROR(VLOOKUP(F381,'Personel Bilgi'!A:D,3,0),"- - -")</f>
        <v>ISIK BUGRA OZDEMIR</v>
      </c>
      <c r="I381" s="21" t="str">
        <f>IFERROR(VLOOKUP(F381,'Personel Bilgi'!A:D,4,0),"- - -")</f>
        <v>ANKARA</v>
      </c>
      <c r="J381" s="21" t="str">
        <f>IFERROR(VLOOKUP(F381,'Personel Bilgi'!A:E,5,0),"- - -")</f>
        <v>MÜŞTERİ TEMSİLCİSİ</v>
      </c>
      <c r="K381" s="22" t="s">
        <v>73</v>
      </c>
      <c r="L381" s="19" t="s">
        <v>96</v>
      </c>
      <c r="M381" s="27" t="s">
        <v>30</v>
      </c>
      <c r="N381" s="36">
        <v>45938</v>
      </c>
      <c r="O381" s="36">
        <v>46021</v>
      </c>
      <c r="P381" s="21" t="s">
        <v>81</v>
      </c>
      <c r="Q381" s="21" t="s">
        <v>725</v>
      </c>
      <c r="R381" s="19" t="s">
        <v>86</v>
      </c>
      <c r="S381" s="21" t="s">
        <v>93</v>
      </c>
      <c r="T381" s="21" t="s">
        <v>95</v>
      </c>
      <c r="U381" s="21" t="s">
        <v>735</v>
      </c>
      <c r="V381" s="21" t="s">
        <v>736</v>
      </c>
      <c r="W381" s="19">
        <v>600277</v>
      </c>
      <c r="X381" s="19" t="str">
        <f>IFERROR(VLOOKUP(W381,'Personel Bilgi'!A:B,2,0),"---")</f>
        <v>DAMLAGUL YIGIT</v>
      </c>
      <c r="Y381" s="19" t="str">
        <f>IFERROR(VLOOKUP(W381,'Personel Bilgi'!A:C,3,0),"---")</f>
        <v>BUSRA ONDER</v>
      </c>
      <c r="Z381" s="22" t="s">
        <v>95</v>
      </c>
      <c r="AA381" s="22" t="s">
        <v>617</v>
      </c>
      <c r="AB381" s="22" t="s">
        <v>73</v>
      </c>
      <c r="AC381" s="19" t="s">
        <v>96</v>
      </c>
      <c r="AD381" s="27" t="s">
        <v>30</v>
      </c>
    </row>
    <row r="382" spans="1:30" x14ac:dyDescent="0.25">
      <c r="A382" s="19" t="s">
        <v>11</v>
      </c>
      <c r="B382" s="21" t="s">
        <v>1097</v>
      </c>
      <c r="C382" s="21">
        <v>5326730161</v>
      </c>
      <c r="D382" s="19" t="s">
        <v>15</v>
      </c>
      <c r="E382" s="19" t="str">
        <f>IFERROR(VLOOKUP(D382,Tanımlar!C:D,2,0),"- - -")</f>
        <v>PERAKENDE</v>
      </c>
      <c r="F382" s="21">
        <v>600618</v>
      </c>
      <c r="G382" s="21" t="str">
        <f>IFERROR(VLOOKUP(F382,'Personel Bilgi'!A:B,2,0),"- - - ")</f>
        <v>ENES ALI SATIR</v>
      </c>
      <c r="H382" s="21" t="str">
        <f>IFERROR(VLOOKUP(F382,'Personel Bilgi'!A:D,3,0),"- - -")</f>
        <v>FERHAT DEMIR</v>
      </c>
      <c r="I382" s="21" t="str">
        <f>IFERROR(VLOOKUP(F382,'Personel Bilgi'!A:D,4,0),"- - -")</f>
        <v>ANKARA</v>
      </c>
      <c r="J382" s="21" t="str">
        <f>IFERROR(VLOOKUP(F382,'Personel Bilgi'!A:E,5,0),"- - -")</f>
        <v>MÜŞTERİ TEMSİLCİSİ</v>
      </c>
      <c r="K382" s="22" t="s">
        <v>66</v>
      </c>
      <c r="L382" s="21" t="s">
        <v>97</v>
      </c>
      <c r="M382" s="27" t="s">
        <v>734</v>
      </c>
      <c r="N382" s="36">
        <v>46016</v>
      </c>
      <c r="O382" s="36">
        <v>46021</v>
      </c>
      <c r="P382" s="21" t="s">
        <v>1145</v>
      </c>
      <c r="Q382" s="37" t="s">
        <v>735</v>
      </c>
      <c r="R382" s="19" t="s">
        <v>86</v>
      </c>
      <c r="S382" s="21" t="s">
        <v>92</v>
      </c>
      <c r="T382" s="21" t="s">
        <v>94</v>
      </c>
      <c r="U382" s="21">
        <v>0</v>
      </c>
      <c r="V382" s="21" t="s">
        <v>736</v>
      </c>
      <c r="W382" s="19">
        <v>110742</v>
      </c>
      <c r="X382" s="19" t="str">
        <f>IFERROR(VLOOKUP(W382,'Personel Bilgi'!A:B,2,0),"---")</f>
        <v>HANDE KOC</v>
      </c>
      <c r="Y382" s="19" t="str">
        <f>IFERROR(VLOOKUP(W382,'Personel Bilgi'!A:C,3,0),"---")</f>
        <v>YAPRAK KARAKOC</v>
      </c>
      <c r="Z382" s="22" t="s">
        <v>95</v>
      </c>
      <c r="AA382" s="22" t="s">
        <v>617</v>
      </c>
      <c r="AB382" s="22" t="s">
        <v>66</v>
      </c>
      <c r="AC382" s="21" t="s">
        <v>97</v>
      </c>
      <c r="AD382" s="21" t="s">
        <v>734</v>
      </c>
    </row>
    <row r="383" spans="1:30" x14ac:dyDescent="0.25">
      <c r="A383" s="19" t="s">
        <v>11</v>
      </c>
      <c r="B383" s="21" t="s">
        <v>1098</v>
      </c>
      <c r="C383" s="21">
        <v>5312670715</v>
      </c>
      <c r="D383" s="19" t="s">
        <v>15</v>
      </c>
      <c r="E383" s="19" t="str">
        <f>IFERROR(VLOOKUP(D383,Tanımlar!C:D,2,0),"- - -")</f>
        <v>PERAKENDE</v>
      </c>
      <c r="F383" s="21">
        <v>111279</v>
      </c>
      <c r="G383" s="21" t="str">
        <f>IFERROR(VLOOKUP(F383,'Personel Bilgi'!A:B,2,0),"- - - ")</f>
        <v>MUHAMMED KIRYUCI</v>
      </c>
      <c r="H383" s="21" t="str">
        <f>IFERROR(VLOOKUP(F383,'Personel Bilgi'!A:D,3,0),"- - -")</f>
        <v>KURTHAN FERDI CIHANTIMUR</v>
      </c>
      <c r="I383" s="21" t="str">
        <f>IFERROR(VLOOKUP(F383,'Personel Bilgi'!A:D,4,0),"- - -")</f>
        <v>KARS</v>
      </c>
      <c r="J383" s="21" t="s">
        <v>695</v>
      </c>
      <c r="K383" s="22" t="s">
        <v>65</v>
      </c>
      <c r="L383" s="19" t="s">
        <v>96</v>
      </c>
      <c r="M383" s="27" t="s">
        <v>29</v>
      </c>
      <c r="N383" s="36">
        <v>46015</v>
      </c>
      <c r="O383" s="36">
        <v>46021</v>
      </c>
      <c r="P383" s="21" t="s">
        <v>81</v>
      </c>
      <c r="Q383" s="37" t="s">
        <v>735</v>
      </c>
      <c r="R383" s="19" t="s">
        <v>86</v>
      </c>
      <c r="S383" s="21" t="s">
        <v>92</v>
      </c>
      <c r="T383" s="21" t="s">
        <v>95</v>
      </c>
      <c r="U383" s="21">
        <v>83</v>
      </c>
      <c r="V383" s="21" t="s">
        <v>736</v>
      </c>
      <c r="W383" s="19">
        <v>600462</v>
      </c>
      <c r="X383" s="19" t="str">
        <f>IFERROR(VLOOKUP(W383,'Personel Bilgi'!A:B,2,0),"---")</f>
        <v>DAMLA GUNEY</v>
      </c>
      <c r="Y383" s="19" t="str">
        <f>IFERROR(VLOOKUP(W383,'Personel Bilgi'!A:C,3,0),"---")</f>
        <v xml:space="preserve">İNAN UMUT ÖRNEK </v>
      </c>
      <c r="Z383" s="22" t="s">
        <v>95</v>
      </c>
      <c r="AA383" s="22" t="s">
        <v>617</v>
      </c>
      <c r="AB383" s="22" t="s">
        <v>65</v>
      </c>
      <c r="AC383" s="19" t="s">
        <v>96</v>
      </c>
      <c r="AD383" s="27" t="s">
        <v>29</v>
      </c>
    </row>
    <row r="384" spans="1:30" x14ac:dyDescent="0.25">
      <c r="A384" s="19" t="s">
        <v>11</v>
      </c>
      <c r="B384" s="21" t="s">
        <v>1099</v>
      </c>
      <c r="C384" s="21">
        <v>2122247801</v>
      </c>
      <c r="D384" s="19" t="s">
        <v>15</v>
      </c>
      <c r="E384" s="19" t="str">
        <f>IFERROR(VLOOKUP(D384,Tanımlar!C:D,2,0),"- - -")</f>
        <v>PERAKENDE</v>
      </c>
      <c r="F384" s="21">
        <v>210022</v>
      </c>
      <c r="G384" s="21" t="str">
        <f>IFERROR(VLOOKUP(F384,'Personel Bilgi'!A:B,2,0),"- - - ")</f>
        <v>IRFAN YILDIZ</v>
      </c>
      <c r="H384" s="21" t="str">
        <f>IFERROR(VLOOKUP(F384,'Personel Bilgi'!A:D,3,0),"- - -")</f>
        <v>SEVCAN BULUT</v>
      </c>
      <c r="I384" s="21" t="str">
        <f>IFERROR(VLOOKUP(F384,'Personel Bilgi'!A:D,4,0),"- - -")</f>
        <v>KARS</v>
      </c>
      <c r="J384" s="21" t="str">
        <f>IFERROR(VLOOKUP(F384,'Personel Bilgi'!A:E,5,0),"- - -")</f>
        <v>MÜŞTERİ TEMSİLCİSİ</v>
      </c>
      <c r="K384" s="22" t="s">
        <v>66</v>
      </c>
      <c r="L384" s="21" t="s">
        <v>97</v>
      </c>
      <c r="M384" s="21" t="s">
        <v>734</v>
      </c>
      <c r="N384" s="36">
        <v>46017</v>
      </c>
      <c r="O384" s="36">
        <v>46021</v>
      </c>
      <c r="P384" s="21" t="s">
        <v>81</v>
      </c>
      <c r="Q384" s="37" t="s">
        <v>735</v>
      </c>
      <c r="R384" s="19" t="s">
        <v>86</v>
      </c>
      <c r="S384" s="21" t="s">
        <v>92</v>
      </c>
      <c r="T384" s="21" t="s">
        <v>94</v>
      </c>
      <c r="U384" s="21">
        <v>0</v>
      </c>
      <c r="V384" s="21" t="s">
        <v>736</v>
      </c>
      <c r="W384" s="21">
        <v>210022</v>
      </c>
      <c r="X384" s="19" t="str">
        <f>IFERROR(VLOOKUP(W384,'Personel Bilgi'!A:B,2,0),"---")</f>
        <v>IRFAN YILDIZ</v>
      </c>
      <c r="Y384" s="19" t="str">
        <f>IFERROR(VLOOKUP(W384,'Personel Bilgi'!A:C,3,0),"---")</f>
        <v>SEVCAN BULUT</v>
      </c>
      <c r="Z384" s="22" t="s">
        <v>95</v>
      </c>
      <c r="AA384" s="22" t="s">
        <v>617</v>
      </c>
      <c r="AB384" s="22" t="s">
        <v>66</v>
      </c>
      <c r="AC384" s="21" t="s">
        <v>97</v>
      </c>
      <c r="AD384" s="21" t="s">
        <v>734</v>
      </c>
    </row>
    <row r="385" spans="1:30" x14ac:dyDescent="0.25">
      <c r="A385" s="19" t="s">
        <v>11</v>
      </c>
      <c r="B385" s="21" t="s">
        <v>1100</v>
      </c>
      <c r="C385" s="21">
        <v>5435802471</v>
      </c>
      <c r="D385" s="19" t="s">
        <v>12</v>
      </c>
      <c r="E385" s="19" t="str">
        <f>IFERROR(VLOOKUP(D385,Tanımlar!C:D,2,0),"- - -")</f>
        <v>DAĞITIM</v>
      </c>
      <c r="F385" s="21">
        <v>500075</v>
      </c>
      <c r="G385" s="21" t="str">
        <f>IFERROR(VLOOKUP(F385,'Personel Bilgi'!A:B,2,0),"- - - ")</f>
        <v>AHMET SEFA BASBUGA</v>
      </c>
      <c r="H385" s="21" t="str">
        <f>IFERROR(VLOOKUP(F385,'Personel Bilgi'!A:D,3,0),"- - -")</f>
        <v>SALTUK BUGRAHAN TAYMUS</v>
      </c>
      <c r="I385" s="21" t="str">
        <f>IFERROR(VLOOKUP(F385,'Personel Bilgi'!A:D,4,0),"- - -")</f>
        <v>ERZURUM</v>
      </c>
      <c r="J385" s="21" t="str">
        <f>IFERROR(VLOOKUP(F385,'Personel Bilgi'!A:E,5,0),"- - -")</f>
        <v>MÜŞTERİ TEMSİLCİSİ</v>
      </c>
      <c r="K385" s="22" t="s">
        <v>66</v>
      </c>
      <c r="L385" s="21" t="s">
        <v>97</v>
      </c>
      <c r="M385" s="27" t="s">
        <v>21</v>
      </c>
      <c r="N385" s="36">
        <v>46021</v>
      </c>
      <c r="O385" s="36">
        <v>46021</v>
      </c>
      <c r="P385" s="21" t="s">
        <v>1145</v>
      </c>
      <c r="Q385" s="37" t="s">
        <v>735</v>
      </c>
      <c r="R385" s="19" t="s">
        <v>86</v>
      </c>
      <c r="S385" s="21" t="s">
        <v>92</v>
      </c>
      <c r="T385" s="21" t="s">
        <v>94</v>
      </c>
      <c r="U385" s="21">
        <v>0</v>
      </c>
      <c r="V385" s="21" t="s">
        <v>736</v>
      </c>
      <c r="W385" s="19">
        <v>500128</v>
      </c>
      <c r="X385" s="19" t="str">
        <f>IFERROR(VLOOKUP(W385,'Personel Bilgi'!A:B,2,0),"---")</f>
        <v>NILUFER HAZAN CIFCI</v>
      </c>
      <c r="Y385" s="19" t="str">
        <f>IFERROR(VLOOKUP(W385,'Personel Bilgi'!A:C,3,0),"---")</f>
        <v>SAMET KOCABEYOGLU</v>
      </c>
      <c r="Z385" s="22" t="s">
        <v>95</v>
      </c>
      <c r="AA385" s="22" t="s">
        <v>617</v>
      </c>
      <c r="AB385" s="22" t="s">
        <v>66</v>
      </c>
      <c r="AC385" s="21" t="s">
        <v>97</v>
      </c>
      <c r="AD385" s="27" t="s">
        <v>21</v>
      </c>
    </row>
    <row r="386" spans="1:30" x14ac:dyDescent="0.25">
      <c r="A386" s="19" t="s">
        <v>11</v>
      </c>
      <c r="B386" s="21" t="s">
        <v>1101</v>
      </c>
      <c r="C386" s="21">
        <v>5412654350</v>
      </c>
      <c r="D386" s="21" t="s">
        <v>15</v>
      </c>
      <c r="E386" s="19" t="str">
        <f>IFERROR(VLOOKUP(D386,Tanımlar!C:D,2,0),"- - -")</f>
        <v>PERAKENDE</v>
      </c>
      <c r="F386" s="47">
        <v>600581</v>
      </c>
      <c r="G386" s="21" t="str">
        <f>IFERROR(VLOOKUP(F386,'Personel Bilgi'!A:B,2,0),"- - - ")</f>
        <v>ACELYA EKINCI</v>
      </c>
      <c r="H386" s="21" t="str">
        <f>IFERROR(VLOOKUP(F386,'Personel Bilgi'!A:D,3,0),"- - -")</f>
        <v>BUSRA OLCULMUS</v>
      </c>
      <c r="I386" s="21" t="str">
        <f>IFERROR(VLOOKUP(F386,'Personel Bilgi'!A:D,4,0),"- - -")</f>
        <v>ANKARA</v>
      </c>
      <c r="J386" s="21" t="str">
        <f>IFERROR(VLOOKUP(F386,'Personel Bilgi'!A:E,5,0),"- - -")</f>
        <v>MÜŞTERİ TEMSİLCİSİ</v>
      </c>
      <c r="K386" s="21" t="s">
        <v>65</v>
      </c>
      <c r="L386" s="21" t="s">
        <v>96</v>
      </c>
      <c r="M386" s="21" t="s">
        <v>29</v>
      </c>
      <c r="N386" s="36">
        <v>46017</v>
      </c>
      <c r="O386" s="36">
        <v>46021</v>
      </c>
      <c r="P386" s="21" t="s">
        <v>1145</v>
      </c>
      <c r="Q386" s="37" t="s">
        <v>735</v>
      </c>
      <c r="R386" s="21" t="s">
        <v>790</v>
      </c>
      <c r="S386" s="21" t="s">
        <v>92</v>
      </c>
      <c r="T386" s="21" t="s">
        <v>95</v>
      </c>
      <c r="U386" s="21">
        <v>80</v>
      </c>
      <c r="V386" s="21" t="s">
        <v>736</v>
      </c>
      <c r="W386" s="21">
        <v>111020</v>
      </c>
      <c r="X386" s="19" t="str">
        <f>IFERROR(VLOOKUP(W386,'Personel Bilgi'!A:B,2,0),"---")</f>
        <v>BAHAR BARIS</v>
      </c>
      <c r="Y386" s="19" t="str">
        <f>IFERROR(VLOOKUP(W386,'Personel Bilgi'!A:C,3,0),"---")</f>
        <v>DILAN ORNEK</v>
      </c>
      <c r="Z386" s="22" t="s">
        <v>95</v>
      </c>
      <c r="AA386" s="22" t="s">
        <v>617</v>
      </c>
      <c r="AB386" s="21" t="s">
        <v>65</v>
      </c>
      <c r="AC386" s="21" t="s">
        <v>96</v>
      </c>
      <c r="AD386" s="21" t="s">
        <v>29</v>
      </c>
    </row>
    <row r="387" spans="1:30" x14ac:dyDescent="0.25">
      <c r="A387" s="19" t="s">
        <v>11</v>
      </c>
      <c r="B387" s="21" t="s">
        <v>1102</v>
      </c>
      <c r="C387" s="21">
        <v>5015738128</v>
      </c>
      <c r="D387" s="21" t="s">
        <v>15</v>
      </c>
      <c r="E387" s="19" t="str">
        <f>IFERROR(VLOOKUP(D387,Tanımlar!C:D,2,0),"- - -")</f>
        <v>PERAKENDE</v>
      </c>
      <c r="F387" s="21">
        <v>111007</v>
      </c>
      <c r="G387" s="21" t="str">
        <f>IFERROR(VLOOKUP(F387,'Personel Bilgi'!A:B,2,0),"- - - ")</f>
        <v>FURKAN KARADAG</v>
      </c>
      <c r="H387" s="21" t="str">
        <f>IFERROR(VLOOKUP(F387,'Personel Bilgi'!A:D,3,0),"- - -")</f>
        <v>MUSTAFA OZAYAG</v>
      </c>
      <c r="I387" s="21" t="str">
        <f>IFERROR(VLOOKUP(F387,'Personel Bilgi'!A:D,4,0),"- - -")</f>
        <v>KARS</v>
      </c>
      <c r="J387" s="21" t="str">
        <f>IFERROR(VLOOKUP(F387,'Personel Bilgi'!A:E,5,0),"- - -")</f>
        <v>MÜŞTERİ TEMSİLCİSİ</v>
      </c>
      <c r="K387" s="21" t="s">
        <v>65</v>
      </c>
      <c r="L387" s="22" t="s">
        <v>47</v>
      </c>
      <c r="M387" s="21" t="s">
        <v>603</v>
      </c>
      <c r="N387" s="36">
        <v>46017</v>
      </c>
      <c r="O387" s="36">
        <v>46021</v>
      </c>
      <c r="P387" s="21" t="s">
        <v>80</v>
      </c>
      <c r="Q387" s="37" t="s">
        <v>735</v>
      </c>
      <c r="R387" s="21" t="s">
        <v>790</v>
      </c>
      <c r="S387" s="21" t="s">
        <v>92</v>
      </c>
      <c r="T387" s="21" t="s">
        <v>95</v>
      </c>
      <c r="U387" s="21">
        <v>65</v>
      </c>
      <c r="V387" s="21" t="s">
        <v>736</v>
      </c>
      <c r="W387" s="21">
        <v>111222</v>
      </c>
      <c r="X387" s="19" t="str">
        <f>IFERROR(VLOOKUP(W387,'Personel Bilgi'!A:B,2,0),"---")</f>
        <v>MUSTAFA NECIP BOZ</v>
      </c>
      <c r="Y387" s="19" t="str">
        <f>IFERROR(VLOOKUP(W387,'Personel Bilgi'!A:C,3,0),"---")</f>
        <v>SAFAK TOPTAS</v>
      </c>
      <c r="Z387" s="22" t="s">
        <v>95</v>
      </c>
      <c r="AA387" s="22" t="s">
        <v>617</v>
      </c>
      <c r="AB387" s="21" t="s">
        <v>65</v>
      </c>
      <c r="AC387" s="22" t="s">
        <v>47</v>
      </c>
      <c r="AD387" s="21" t="s">
        <v>603</v>
      </c>
    </row>
    <row r="388" spans="1:30" x14ac:dyDescent="0.25">
      <c r="A388" s="19" t="s">
        <v>11</v>
      </c>
      <c r="B388" s="21" t="s">
        <v>1103</v>
      </c>
      <c r="C388" s="21">
        <v>5447334103</v>
      </c>
      <c r="D388" s="21" t="s">
        <v>12</v>
      </c>
      <c r="E388" s="19" t="str">
        <f>IFERROR(VLOOKUP(D388,Tanımlar!C:D,2,0),"- - -")</f>
        <v>DAĞITIM</v>
      </c>
      <c r="F388" s="21">
        <v>500153</v>
      </c>
      <c r="G388" s="21" t="str">
        <f>IFERROR(VLOOKUP(F388,'Personel Bilgi'!A:B,2,0),"- - - ")</f>
        <v>ESRA YILMAZ</v>
      </c>
      <c r="H388" s="21" t="str">
        <f>IFERROR(VLOOKUP(F388,'Personel Bilgi'!A:D,3,0),"- - -")</f>
        <v>KURSAD TERCANLI</v>
      </c>
      <c r="I388" s="21" t="str">
        <f>IFERROR(VLOOKUP(F388,'Personel Bilgi'!A:D,4,0),"- - -")</f>
        <v>ERZURUM</v>
      </c>
      <c r="J388" s="21" t="str">
        <f>IFERROR(VLOOKUP(F388,'Personel Bilgi'!A:E,5,0),"- - -")</f>
        <v>MÜŞTERİ TEMSİLCİSİ</v>
      </c>
      <c r="K388" s="22" t="s">
        <v>49</v>
      </c>
      <c r="L388" s="21" t="s">
        <v>97</v>
      </c>
      <c r="M388" s="21" t="s">
        <v>21</v>
      </c>
      <c r="N388" s="36">
        <v>46020</v>
      </c>
      <c r="O388" s="36">
        <v>46021</v>
      </c>
      <c r="P388" s="21" t="s">
        <v>1145</v>
      </c>
      <c r="Q388" s="37" t="s">
        <v>735</v>
      </c>
      <c r="R388" s="21" t="s">
        <v>790</v>
      </c>
      <c r="S388" s="21" t="s">
        <v>92</v>
      </c>
      <c r="T388" s="21" t="s">
        <v>94</v>
      </c>
      <c r="U388" s="21">
        <v>0</v>
      </c>
      <c r="V388" s="21" t="s">
        <v>736</v>
      </c>
      <c r="W388" s="21">
        <v>500055</v>
      </c>
      <c r="X388" s="19" t="str">
        <f>IFERROR(VLOOKUP(W388,'Personel Bilgi'!A:B,2,0),"---")</f>
        <v>MURAT YILDIZ</v>
      </c>
      <c r="Y388" s="19" t="str">
        <f>IFERROR(VLOOKUP(W388,'Personel Bilgi'!A:C,3,0),"---")</f>
        <v>MEHMET ALI SAVAN</v>
      </c>
      <c r="Z388" s="22" t="s">
        <v>95</v>
      </c>
      <c r="AA388" s="22" t="s">
        <v>617</v>
      </c>
      <c r="AB388" s="22" t="s">
        <v>49</v>
      </c>
      <c r="AC388" s="21" t="s">
        <v>97</v>
      </c>
      <c r="AD388" s="21" t="s">
        <v>21</v>
      </c>
    </row>
    <row r="389" spans="1:30" x14ac:dyDescent="0.25">
      <c r="A389" s="19" t="s">
        <v>11</v>
      </c>
      <c r="B389" s="21" t="s">
        <v>1104</v>
      </c>
      <c r="C389" s="21">
        <v>5308833019</v>
      </c>
      <c r="D389" s="21" t="s">
        <v>14</v>
      </c>
      <c r="E389" s="19" t="str">
        <f>IFERROR(VLOOKUP(D389,Tanımlar!C:D,2,0),"- - -")</f>
        <v>DAĞITIM</v>
      </c>
      <c r="F389" s="21">
        <v>600434</v>
      </c>
      <c r="G389" s="21" t="str">
        <f>IFERROR(VLOOKUP(F389,'Personel Bilgi'!A:B,2,0),"- - - ")</f>
        <v>BERK VAROGLU</v>
      </c>
      <c r="H389" s="21" t="str">
        <f>IFERROR(VLOOKUP(F389,'Personel Bilgi'!A:D,3,0),"- - -")</f>
        <v>ASYA DAG</v>
      </c>
      <c r="I389" s="21" t="str">
        <f>IFERROR(VLOOKUP(F389,'Personel Bilgi'!A:D,4,0),"- - -")</f>
        <v>ANKARA</v>
      </c>
      <c r="J389" s="21" t="str">
        <f>IFERROR(VLOOKUP(F389,'Personel Bilgi'!A:E,5,0),"- - -")</f>
        <v>UZMAN MÜŞTERİ TEMSİLCİSİ</v>
      </c>
      <c r="K389" s="22" t="s">
        <v>49</v>
      </c>
      <c r="L389" s="21" t="s">
        <v>97</v>
      </c>
      <c r="M389" s="21" t="s">
        <v>734</v>
      </c>
      <c r="N389" s="36">
        <v>46021</v>
      </c>
      <c r="O389" s="36">
        <v>46021</v>
      </c>
      <c r="P389" s="19" t="s">
        <v>79</v>
      </c>
      <c r="Q389" s="37" t="s">
        <v>735</v>
      </c>
      <c r="R389" s="21" t="s">
        <v>790</v>
      </c>
      <c r="S389" s="21" t="s">
        <v>92</v>
      </c>
      <c r="T389" s="21" t="s">
        <v>94</v>
      </c>
      <c r="U389" s="21">
        <v>0</v>
      </c>
      <c r="V389" s="21" t="s">
        <v>736</v>
      </c>
      <c r="W389" s="21">
        <v>500179</v>
      </c>
      <c r="X389" s="19" t="str">
        <f>IFERROR(VLOOKUP(W389,'Personel Bilgi'!A:B,2,0),"---")</f>
        <v>HANIFE UZUN</v>
      </c>
      <c r="Y389" s="19" t="str">
        <f>IFERROR(VLOOKUP(W389,'Personel Bilgi'!A:C,3,0),"---")</f>
        <v>SAMET KOCABEYOGLU</v>
      </c>
      <c r="Z389" s="22" t="s">
        <v>94</v>
      </c>
      <c r="AA389" s="22" t="s">
        <v>616</v>
      </c>
      <c r="AB389" s="22" t="s">
        <v>49</v>
      </c>
      <c r="AC389" s="21" t="s">
        <v>97</v>
      </c>
      <c r="AD389" s="21" t="s">
        <v>734</v>
      </c>
    </row>
    <row r="390" spans="1:30" x14ac:dyDescent="0.25">
      <c r="A390" s="19" t="s">
        <v>11</v>
      </c>
      <c r="B390" s="21" t="s">
        <v>1105</v>
      </c>
      <c r="C390" s="21">
        <v>5327697793</v>
      </c>
      <c r="D390" s="21" t="s">
        <v>14</v>
      </c>
      <c r="E390" s="19" t="str">
        <f>IFERROR(VLOOKUP(D390,Tanımlar!C:D,2,0),"- - -")</f>
        <v>DAĞITIM</v>
      </c>
      <c r="F390" s="21">
        <v>600608</v>
      </c>
      <c r="G390" s="21" t="str">
        <f>IFERROR(VLOOKUP(F390,'Personel Bilgi'!A:B,2,0),"- - - ")</f>
        <v>SEHER SINIROGLU</v>
      </c>
      <c r="H390" s="21" t="str">
        <f>IFERROR(VLOOKUP(F390,'Personel Bilgi'!A:D,3,0),"- - -")</f>
        <v>GORKEM SERT</v>
      </c>
      <c r="I390" s="21" t="str">
        <f>IFERROR(VLOOKUP(F390,'Personel Bilgi'!A:D,4,0),"- - -")</f>
        <v>ANKARA</v>
      </c>
      <c r="J390" s="21" t="str">
        <f>IFERROR(VLOOKUP(F390,'Personel Bilgi'!A:E,5,0),"- - -")</f>
        <v>MÜŞTERİ TEMSİLCİSİ</v>
      </c>
      <c r="K390" s="22" t="s">
        <v>49</v>
      </c>
      <c r="L390" s="21" t="s">
        <v>97</v>
      </c>
      <c r="M390" s="21" t="s">
        <v>734</v>
      </c>
      <c r="N390" s="36">
        <v>46017</v>
      </c>
      <c r="O390" s="36">
        <v>46021</v>
      </c>
      <c r="P390" s="21" t="s">
        <v>81</v>
      </c>
      <c r="Q390" s="37" t="s">
        <v>735</v>
      </c>
      <c r="R390" s="21" t="s">
        <v>790</v>
      </c>
      <c r="S390" s="21" t="s">
        <v>92</v>
      </c>
      <c r="T390" s="21" t="s">
        <v>95</v>
      </c>
      <c r="U390" s="21">
        <v>85</v>
      </c>
      <c r="V390" s="21" t="s">
        <v>736</v>
      </c>
      <c r="W390" s="21">
        <v>600569</v>
      </c>
      <c r="X390" s="19" t="str">
        <f>IFERROR(VLOOKUP(W390,'Personel Bilgi'!A:B,2,0),"---")</f>
        <v>YIGIT HURSIT POLAT</v>
      </c>
      <c r="Y390" s="19" t="str">
        <f>IFERROR(VLOOKUP(W390,'Personel Bilgi'!A:C,3,0),"---")</f>
        <v>FERHAT DEMIR</v>
      </c>
      <c r="Z390" s="22" t="s">
        <v>95</v>
      </c>
      <c r="AA390" s="22" t="s">
        <v>617</v>
      </c>
      <c r="AB390" s="22" t="s">
        <v>49</v>
      </c>
      <c r="AC390" s="21" t="s">
        <v>97</v>
      </c>
      <c r="AD390" s="21" t="s">
        <v>734</v>
      </c>
    </row>
    <row r="391" spans="1:30" x14ac:dyDescent="0.25">
      <c r="A391" s="19" t="s">
        <v>11</v>
      </c>
      <c r="B391" s="21" t="s">
        <v>1106</v>
      </c>
      <c r="C391" s="21">
        <v>5050330524</v>
      </c>
      <c r="D391" s="21" t="s">
        <v>14</v>
      </c>
      <c r="E391" s="19" t="str">
        <f>IFERROR(VLOOKUP(D391,Tanımlar!C:D,2,0),"- - -")</f>
        <v>DAĞITIM</v>
      </c>
      <c r="F391" s="21">
        <v>500175</v>
      </c>
      <c r="G391" s="21" t="str">
        <f>IFERROR(VLOOKUP(F391,'Personel Bilgi'!A:B,2,0),"- - - ")</f>
        <v>FATMA DILAN DUMLU</v>
      </c>
      <c r="H391" s="21" t="str">
        <f>IFERROR(VLOOKUP(F391,'Personel Bilgi'!A:D,3,0),"- - -")</f>
        <v>SAMET KOCABEYOGLU</v>
      </c>
      <c r="I391" s="21" t="str">
        <f>IFERROR(VLOOKUP(F391,'Personel Bilgi'!A:D,4,0),"- - -")</f>
        <v>ERZURUM</v>
      </c>
      <c r="J391" s="21" t="str">
        <f>IFERROR(VLOOKUP(F391,'Personel Bilgi'!A:E,5,0),"- - -")</f>
        <v>MÜŞTERİ TEMSİLCİSİ</v>
      </c>
      <c r="K391" s="21" t="s">
        <v>54</v>
      </c>
      <c r="L391" s="21" t="s">
        <v>96</v>
      </c>
      <c r="M391" s="21" t="s">
        <v>36</v>
      </c>
      <c r="N391" s="36">
        <v>46021</v>
      </c>
      <c r="O391" s="36">
        <v>46021</v>
      </c>
      <c r="P391" s="19" t="s">
        <v>79</v>
      </c>
      <c r="Q391" s="37" t="s">
        <v>735</v>
      </c>
      <c r="R391" s="21" t="s">
        <v>790</v>
      </c>
      <c r="S391" s="21" t="s">
        <v>92</v>
      </c>
      <c r="T391" s="21" t="s">
        <v>94</v>
      </c>
      <c r="U391" s="21">
        <v>0</v>
      </c>
      <c r="V391" s="21" t="s">
        <v>736</v>
      </c>
      <c r="W391" s="21">
        <v>500128</v>
      </c>
      <c r="X391" s="19" t="str">
        <f>IFERROR(VLOOKUP(W391,'Personel Bilgi'!A:B,2,0),"---")</f>
        <v>NILUFER HAZAN CIFCI</v>
      </c>
      <c r="Y391" s="19" t="str">
        <f>IFERROR(VLOOKUP(W391,'Personel Bilgi'!A:C,3,0),"---")</f>
        <v>SAMET KOCABEYOGLU</v>
      </c>
      <c r="Z391" s="22" t="s">
        <v>95</v>
      </c>
      <c r="AA391" s="22" t="s">
        <v>617</v>
      </c>
      <c r="AB391" s="21" t="s">
        <v>54</v>
      </c>
      <c r="AC391" s="21" t="s">
        <v>96</v>
      </c>
      <c r="AD391" s="21" t="s">
        <v>36</v>
      </c>
    </row>
    <row r="392" spans="1:30" x14ac:dyDescent="0.25">
      <c r="A392" s="19" t="s">
        <v>11</v>
      </c>
      <c r="B392" s="21" t="s">
        <v>1107</v>
      </c>
      <c r="C392" s="21">
        <v>5347320122</v>
      </c>
      <c r="D392" s="21" t="s">
        <v>14</v>
      </c>
      <c r="E392" s="19" t="str">
        <f>IFERROR(VLOOKUP(D392,Tanımlar!C:D,2,0),"- - -")</f>
        <v>DAĞITIM</v>
      </c>
      <c r="F392" s="21">
        <v>110547</v>
      </c>
      <c r="G392" s="21" t="str">
        <f>IFERROR(VLOOKUP(F392,'Personel Bilgi'!A:B,2,0),"- - - ")</f>
        <v>EMRE CAN SUMER</v>
      </c>
      <c r="H392" s="21" t="str">
        <f>IFERROR(VLOOKUP(F392,'Personel Bilgi'!A:D,3,0),"- - -")</f>
        <v>CEYHAN AYRIC</v>
      </c>
      <c r="I392" s="21" t="str">
        <f>IFERROR(VLOOKUP(F392,'Personel Bilgi'!A:D,4,0),"- - -")</f>
        <v>KARS</v>
      </c>
      <c r="J392" s="21" t="str">
        <f>IFERROR(VLOOKUP(F392,'Personel Bilgi'!A:E,5,0),"- - -")</f>
        <v>MÜŞTERİ TEMSİLCİSİ</v>
      </c>
      <c r="K392" s="22" t="s">
        <v>49</v>
      </c>
      <c r="L392" s="21" t="s">
        <v>41</v>
      </c>
      <c r="M392" s="21" t="s">
        <v>42</v>
      </c>
      <c r="N392" s="36">
        <v>46021</v>
      </c>
      <c r="O392" s="36">
        <v>46021</v>
      </c>
      <c r="P392" s="19" t="s">
        <v>79</v>
      </c>
      <c r="Q392" s="37" t="s">
        <v>735</v>
      </c>
      <c r="R392" s="21" t="s">
        <v>790</v>
      </c>
      <c r="S392" s="21" t="s">
        <v>92</v>
      </c>
      <c r="T392" s="21" t="s">
        <v>94</v>
      </c>
      <c r="U392" s="21">
        <v>0</v>
      </c>
      <c r="V392" s="21" t="s">
        <v>736</v>
      </c>
      <c r="W392" s="21">
        <v>500078</v>
      </c>
      <c r="X392" s="19" t="str">
        <f>IFERROR(VLOOKUP(W392,'Personel Bilgi'!A:B,2,0),"---")</f>
        <v>DUYGU DEMIRCI</v>
      </c>
      <c r="Y392" s="19" t="str">
        <f>IFERROR(VLOOKUP(W392,'Personel Bilgi'!A:C,3,0),"---")</f>
        <v>SALTUK BUGRAHAN TAYMUS</v>
      </c>
      <c r="Z392" s="22" t="s">
        <v>95</v>
      </c>
      <c r="AA392" s="22" t="s">
        <v>617</v>
      </c>
      <c r="AB392" s="22" t="s">
        <v>49</v>
      </c>
      <c r="AC392" s="21" t="s">
        <v>41</v>
      </c>
      <c r="AD392" s="21" t="s">
        <v>42</v>
      </c>
    </row>
    <row r="393" spans="1:30" x14ac:dyDescent="0.2">
      <c r="A393" s="19" t="s">
        <v>11</v>
      </c>
      <c r="B393" s="21" t="s">
        <v>1108</v>
      </c>
      <c r="C393" s="21">
        <v>5330510220</v>
      </c>
      <c r="D393" s="21" t="s">
        <v>14</v>
      </c>
      <c r="E393" s="19" t="str">
        <f>IFERROR(VLOOKUP(D393,Tanımlar!C:D,2,0),"- - -")</f>
        <v>DAĞITIM</v>
      </c>
      <c r="F393" s="5">
        <v>210007</v>
      </c>
      <c r="G393" s="21" t="str">
        <f>IFERROR(VLOOKUP(F393,'Personel Bilgi'!A:B,2,0),"- - - ")</f>
        <v>YAPRAK KARAKOC</v>
      </c>
      <c r="H393" s="21" t="str">
        <f>IFERROR(VLOOKUP(F393,'Personel Bilgi'!A:D,3,0),"- - -")</f>
        <v>YAPRAK KARAKOC</v>
      </c>
      <c r="I393" s="21" t="str">
        <f>IFERROR(VLOOKUP(F393,'Personel Bilgi'!A:D,4,0),"- - -")</f>
        <v>KARS</v>
      </c>
      <c r="J393" s="21" t="str">
        <f>IFERROR(VLOOKUP(F393,'Personel Bilgi'!A:E,5,0),"- - -")</f>
        <v>TAKIM LİDERİ</v>
      </c>
      <c r="K393" s="21" t="s">
        <v>49</v>
      </c>
      <c r="L393" s="27" t="s">
        <v>97</v>
      </c>
      <c r="M393" s="27" t="s">
        <v>22</v>
      </c>
      <c r="N393" s="36">
        <v>46021</v>
      </c>
      <c r="O393" s="36">
        <v>46021</v>
      </c>
      <c r="P393" s="21" t="s">
        <v>81</v>
      </c>
      <c r="Q393" s="37" t="s">
        <v>735</v>
      </c>
      <c r="R393" s="21" t="s">
        <v>790</v>
      </c>
      <c r="S393" s="21" t="s">
        <v>93</v>
      </c>
      <c r="T393" s="21" t="s">
        <v>95</v>
      </c>
      <c r="U393" s="21" t="s">
        <v>735</v>
      </c>
      <c r="V393" s="21" t="s">
        <v>736</v>
      </c>
      <c r="W393" s="21">
        <v>110430</v>
      </c>
      <c r="X393" s="19" t="str">
        <f>IFERROR(VLOOKUP(W393,'Personel Bilgi'!A:B,2,0),"---")</f>
        <v>SELCAN BULUT</v>
      </c>
      <c r="Y393" s="19" t="str">
        <f>IFERROR(VLOOKUP(W393,'Personel Bilgi'!A:C,3,0),"---")</f>
        <v>YAPRAK KARAKOC</v>
      </c>
      <c r="Z393" s="22" t="s">
        <v>95</v>
      </c>
      <c r="AA393" s="22" t="s">
        <v>617</v>
      </c>
      <c r="AB393" s="22" t="s">
        <v>49</v>
      </c>
      <c r="AC393" s="27" t="s">
        <v>97</v>
      </c>
      <c r="AD393" s="27" t="s">
        <v>22</v>
      </c>
    </row>
    <row r="394" spans="1:30" x14ac:dyDescent="0.25">
      <c r="A394" s="19" t="s">
        <v>11</v>
      </c>
      <c r="B394" s="21" t="s">
        <v>1109</v>
      </c>
      <c r="C394" s="21">
        <v>5446903871</v>
      </c>
      <c r="D394" s="21" t="s">
        <v>14</v>
      </c>
      <c r="E394" s="19" t="str">
        <f>IFERROR(VLOOKUP(D394,Tanımlar!C:D,2,0),"- - -")</f>
        <v>DAĞITIM</v>
      </c>
      <c r="F394" s="21">
        <v>111240</v>
      </c>
      <c r="G394" s="21" t="str">
        <f>IFERROR(VLOOKUP(F394,'Personel Bilgi'!A:B,2,0),"- - - ")</f>
        <v>BERAT KILICARSLAN</v>
      </c>
      <c r="H394" s="21" t="str">
        <f>IFERROR(VLOOKUP(F394,'Personel Bilgi'!A:D,3,0),"- - -")</f>
        <v>YAPRAK KARAKOC</v>
      </c>
      <c r="I394" s="21" t="str">
        <f>IFERROR(VLOOKUP(F394,'Personel Bilgi'!A:D,4,0),"- - -")</f>
        <v>KARS</v>
      </c>
      <c r="J394" s="21" t="str">
        <f>IFERROR(VLOOKUP(F394,'Personel Bilgi'!A:E,5,0),"- - -")</f>
        <v>MÜŞTERİ TEMSİLCİSİ</v>
      </c>
      <c r="K394" s="21" t="s">
        <v>49</v>
      </c>
      <c r="L394" s="21" t="s">
        <v>41</v>
      </c>
      <c r="M394" s="21" t="s">
        <v>45</v>
      </c>
      <c r="N394" s="36">
        <v>46021</v>
      </c>
      <c r="O394" s="36">
        <v>46021</v>
      </c>
      <c r="P394" s="21" t="s">
        <v>1145</v>
      </c>
      <c r="Q394" s="37" t="s">
        <v>735</v>
      </c>
      <c r="R394" s="21" t="s">
        <v>790</v>
      </c>
      <c r="S394" s="21" t="s">
        <v>92</v>
      </c>
      <c r="T394" s="21" t="s">
        <v>95</v>
      </c>
      <c r="U394" s="21">
        <v>80</v>
      </c>
      <c r="V394" s="21" t="s">
        <v>736</v>
      </c>
      <c r="W394" s="21">
        <v>500066</v>
      </c>
      <c r="X394" s="19" t="str">
        <f>IFERROR(VLOOKUP(W394,'Personel Bilgi'!A:B,2,0),"---")</f>
        <v>MIRAY ELA KATI</v>
      </c>
      <c r="Y394" s="19" t="str">
        <f>IFERROR(VLOOKUP(W394,'Personel Bilgi'!A:C,3,0),"---")</f>
        <v>SALTUK BUGRAHAN TAYMUS</v>
      </c>
      <c r="Z394" s="22" t="s">
        <v>95</v>
      </c>
      <c r="AA394" s="22" t="s">
        <v>617</v>
      </c>
      <c r="AB394" s="22" t="s">
        <v>49</v>
      </c>
      <c r="AC394" s="21" t="s">
        <v>41</v>
      </c>
      <c r="AD394" s="27" t="s">
        <v>45</v>
      </c>
    </row>
    <row r="395" spans="1:30" x14ac:dyDescent="0.25">
      <c r="A395" s="19" t="s">
        <v>11</v>
      </c>
      <c r="B395" s="21" t="s">
        <v>1110</v>
      </c>
      <c r="C395" s="21">
        <v>5535940753</v>
      </c>
      <c r="D395" s="21" t="s">
        <v>12</v>
      </c>
      <c r="E395" s="19" t="str">
        <f>IFERROR(VLOOKUP(D395,Tanımlar!C:D,2,0),"- - -")</f>
        <v>DAĞITIM</v>
      </c>
      <c r="F395" s="21">
        <v>110399</v>
      </c>
      <c r="G395" s="21" t="str">
        <f>IFERROR(VLOOKUP(F395,'Personel Bilgi'!A:B,2,0),"- - - ")</f>
        <v>EMRAH OZER</v>
      </c>
      <c r="H395" s="21" t="str">
        <f>IFERROR(VLOOKUP(F395,'Personel Bilgi'!A:D,3,0),"- - -")</f>
        <v>SEVCAN BULUT</v>
      </c>
      <c r="I395" s="21" t="str">
        <f>IFERROR(VLOOKUP(F395,'Personel Bilgi'!A:D,4,0),"- - -")</f>
        <v>KARS</v>
      </c>
      <c r="J395" s="21" t="str">
        <f>IFERROR(VLOOKUP(F395,'Personel Bilgi'!A:E,5,0),"- - -")</f>
        <v>MÜŞTERİ TEMSİLCİSİ</v>
      </c>
      <c r="K395" s="21" t="s">
        <v>70</v>
      </c>
      <c r="L395" s="21" t="s">
        <v>41</v>
      </c>
      <c r="M395" s="21" t="s">
        <v>42</v>
      </c>
      <c r="N395" s="36">
        <v>46021</v>
      </c>
      <c r="O395" s="36">
        <v>46021</v>
      </c>
      <c r="P395" s="19" t="s">
        <v>79</v>
      </c>
      <c r="Q395" s="37" t="s">
        <v>735</v>
      </c>
      <c r="R395" s="21" t="s">
        <v>790</v>
      </c>
      <c r="S395" s="21" t="s">
        <v>92</v>
      </c>
      <c r="T395" s="21" t="s">
        <v>94</v>
      </c>
      <c r="U395" s="21">
        <v>0</v>
      </c>
      <c r="V395" s="21" t="s">
        <v>736</v>
      </c>
      <c r="W395" s="21">
        <v>500069</v>
      </c>
      <c r="X395" s="19" t="str">
        <f>IFERROR(VLOOKUP(W395,'Personel Bilgi'!A:B,2,0),"---")</f>
        <v>HUMEYYA ILAYDA ORS</v>
      </c>
      <c r="Y395" s="19" t="str">
        <f>IFERROR(VLOOKUP(W395,'Personel Bilgi'!A:C,3,0),"---")</f>
        <v>SALTUK BUGRAHAN TAYMUS</v>
      </c>
      <c r="Z395" s="22" t="s">
        <v>95</v>
      </c>
      <c r="AA395" s="22" t="s">
        <v>617</v>
      </c>
      <c r="AB395" s="21" t="s">
        <v>70</v>
      </c>
      <c r="AC395" s="21" t="s">
        <v>41</v>
      </c>
      <c r="AD395" s="27" t="s">
        <v>42</v>
      </c>
    </row>
    <row r="396" spans="1:30" x14ac:dyDescent="0.25">
      <c r="A396" s="19" t="s">
        <v>11</v>
      </c>
      <c r="B396" s="21" t="s">
        <v>1111</v>
      </c>
      <c r="C396" s="21">
        <v>5323806754</v>
      </c>
      <c r="D396" s="21" t="s">
        <v>15</v>
      </c>
      <c r="E396" s="19" t="str">
        <f>IFERROR(VLOOKUP(D396,Tanımlar!C:D,2,0),"- - -")</f>
        <v>PERAKENDE</v>
      </c>
      <c r="F396" s="21">
        <v>600661</v>
      </c>
      <c r="G396" s="21" t="str">
        <f>IFERROR(VLOOKUP(F396,'Personel Bilgi'!A:B,2,0),"- - - ")</f>
        <v>ZEYNEP TEKELI</v>
      </c>
      <c r="H396" s="21" t="str">
        <f>IFERROR(VLOOKUP(F396,'Personel Bilgi'!A:D,3,0),"- - -")</f>
        <v>BUSRA OLCULMUS</v>
      </c>
      <c r="I396" s="21" t="str">
        <f>IFERROR(VLOOKUP(F396,'Personel Bilgi'!A:D,4,0),"- - -")</f>
        <v>ANKARA</v>
      </c>
      <c r="J396" s="21" t="str">
        <f>IFERROR(VLOOKUP(F396,'Personel Bilgi'!A:E,5,0),"- - -")</f>
        <v>MÜŞTERİ TEMSİLCİSİ</v>
      </c>
      <c r="K396" s="21" t="s">
        <v>65</v>
      </c>
      <c r="L396" s="21" t="s">
        <v>97</v>
      </c>
      <c r="M396" s="21" t="s">
        <v>42</v>
      </c>
      <c r="N396" s="36">
        <v>46020</v>
      </c>
      <c r="O396" s="36">
        <v>46022</v>
      </c>
      <c r="P396" s="19" t="s">
        <v>79</v>
      </c>
      <c r="Q396" s="37" t="s">
        <v>735</v>
      </c>
      <c r="R396" s="19" t="s">
        <v>86</v>
      </c>
      <c r="S396" s="21" t="s">
        <v>92</v>
      </c>
      <c r="T396" s="21" t="s">
        <v>94</v>
      </c>
      <c r="U396" s="21">
        <v>0</v>
      </c>
      <c r="V396" s="21" t="s">
        <v>736</v>
      </c>
      <c r="W396" s="21">
        <v>600594</v>
      </c>
      <c r="X396" s="19" t="str">
        <f>IFERROR(VLOOKUP(W396,'Personel Bilgi'!A:B,2,0),"---")</f>
        <v>GORKEM KUTLUOGLU</v>
      </c>
      <c r="Y396" s="19" t="str">
        <f>IFERROR(VLOOKUP(W396,'Personel Bilgi'!A:C,3,0),"---")</f>
        <v>ASYA DAG</v>
      </c>
      <c r="Z396" s="22" t="s">
        <v>94</v>
      </c>
      <c r="AA396" s="22" t="s">
        <v>616</v>
      </c>
      <c r="AB396" s="21" t="s">
        <v>65</v>
      </c>
      <c r="AC396" s="21" t="s">
        <v>97</v>
      </c>
      <c r="AD396" s="27" t="s">
        <v>42</v>
      </c>
    </row>
    <row r="397" spans="1:30" x14ac:dyDescent="0.25">
      <c r="A397" s="19" t="s">
        <v>11</v>
      </c>
      <c r="B397" s="21" t="s">
        <v>1112</v>
      </c>
      <c r="C397" s="21">
        <v>5348978534</v>
      </c>
      <c r="D397" s="21" t="s">
        <v>15</v>
      </c>
      <c r="E397" s="19" t="str">
        <f>IFERROR(VLOOKUP(D397,Tanımlar!C:D,2,0),"- - -")</f>
        <v>PERAKENDE</v>
      </c>
      <c r="F397" s="21">
        <v>111284</v>
      </c>
      <c r="G397" s="21" t="str">
        <f>IFERROR(VLOOKUP(F397,'Personel Bilgi'!A:B,2,0),"- - - ")</f>
        <v>NESLIHAN YAGAN</v>
      </c>
      <c r="H397" s="21" t="str">
        <f>IFERROR(VLOOKUP(F397,'Personel Bilgi'!A:D,3,0),"- - -")</f>
        <v>MUHAMMET AKSU</v>
      </c>
      <c r="I397" s="21" t="str">
        <f>IFERROR(VLOOKUP(F397,'Personel Bilgi'!A:D,4,0),"- - -")</f>
        <v>KARS</v>
      </c>
      <c r="J397" s="21" t="str">
        <f>IFERROR(VLOOKUP(F397,'Personel Bilgi'!A:E,5,0),"- - -")</f>
        <v>MÜŞTERİ TEMSİLCİSİ</v>
      </c>
      <c r="K397" s="21" t="s">
        <v>65</v>
      </c>
      <c r="L397" s="21" t="s">
        <v>41</v>
      </c>
      <c r="M397" s="21" t="s">
        <v>44</v>
      </c>
      <c r="N397" s="36">
        <v>46020</v>
      </c>
      <c r="O397" s="36">
        <v>46022</v>
      </c>
      <c r="P397" s="21" t="s">
        <v>81</v>
      </c>
      <c r="Q397" s="37" t="s">
        <v>735</v>
      </c>
      <c r="R397" s="19" t="s">
        <v>86</v>
      </c>
      <c r="S397" s="21" t="s">
        <v>92</v>
      </c>
      <c r="T397" s="21" t="s">
        <v>95</v>
      </c>
      <c r="U397" s="21">
        <v>73</v>
      </c>
      <c r="V397" s="21" t="s">
        <v>736</v>
      </c>
      <c r="W397" s="21">
        <v>110938</v>
      </c>
      <c r="X397" s="19" t="str">
        <f>IFERROR(VLOOKUP(W397,'Personel Bilgi'!A:B,2,0),"---")</f>
        <v>MUHAMMED CAN SEFERTAS</v>
      </c>
      <c r="Y397" s="19" t="str">
        <f>IFERROR(VLOOKUP(W397,'Personel Bilgi'!A:C,3,0),"---")</f>
        <v>YAPRAK KARAKOC</v>
      </c>
      <c r="Z397" s="22" t="s">
        <v>94</v>
      </c>
      <c r="AA397" s="22" t="s">
        <v>616</v>
      </c>
      <c r="AB397" s="21" t="s">
        <v>65</v>
      </c>
      <c r="AC397" s="21" t="s">
        <v>41</v>
      </c>
      <c r="AD397" s="21" t="s">
        <v>44</v>
      </c>
    </row>
    <row r="398" spans="1:30" x14ac:dyDescent="0.25">
      <c r="A398" s="19" t="s">
        <v>11</v>
      </c>
      <c r="B398" s="21" t="s">
        <v>1113</v>
      </c>
      <c r="C398" s="21">
        <v>5369273444</v>
      </c>
      <c r="D398" s="21" t="s">
        <v>15</v>
      </c>
      <c r="E398" s="19" t="str">
        <f>IFERROR(VLOOKUP(D398,Tanımlar!C:D,2,0),"- - -")</f>
        <v>PERAKENDE</v>
      </c>
      <c r="F398" s="21">
        <v>600651</v>
      </c>
      <c r="G398" s="21" t="str">
        <f>IFERROR(VLOOKUP(F398,'Personel Bilgi'!A:B,2,0),"- - - ")</f>
        <v>HALENUR APAYDIN</v>
      </c>
      <c r="H398" s="21" t="str">
        <f>IFERROR(VLOOKUP(F398,'Personel Bilgi'!A:D,3,0),"- - -")</f>
        <v>GORKEM SERT</v>
      </c>
      <c r="I398" s="21" t="str">
        <f>IFERROR(VLOOKUP(F398,'Personel Bilgi'!A:D,4,0),"- - -")</f>
        <v>ANKARA</v>
      </c>
      <c r="J398" s="21" t="str">
        <f>IFERROR(VLOOKUP(F398,'Personel Bilgi'!A:E,5,0),"- - -")</f>
        <v>MÜŞTERİ TEMSİLCİSİ</v>
      </c>
      <c r="K398" s="21" t="s">
        <v>65</v>
      </c>
      <c r="L398" s="21" t="s">
        <v>41</v>
      </c>
      <c r="M398" s="21" t="s">
        <v>44</v>
      </c>
      <c r="N398" s="36">
        <v>46020</v>
      </c>
      <c r="O398" s="36">
        <v>46022</v>
      </c>
      <c r="P398" s="19" t="s">
        <v>79</v>
      </c>
      <c r="Q398" s="37" t="s">
        <v>735</v>
      </c>
      <c r="R398" s="19" t="s">
        <v>86</v>
      </c>
      <c r="S398" s="21" t="s">
        <v>92</v>
      </c>
      <c r="T398" s="21" t="s">
        <v>94</v>
      </c>
      <c r="U398" s="21">
        <v>0</v>
      </c>
      <c r="V398" s="21" t="s">
        <v>736</v>
      </c>
      <c r="W398" s="21">
        <v>210413</v>
      </c>
      <c r="X398" s="19" t="str">
        <f>IFERROR(VLOOKUP(W398,'Personel Bilgi'!A:B,2,0),"---")</f>
        <v>AHMET GUNES</v>
      </c>
      <c r="Y398" s="19" t="str">
        <f>IFERROR(VLOOKUP(W398,'Personel Bilgi'!A:C,3,0),"---")</f>
        <v>SEVCAN BULUT</v>
      </c>
      <c r="Z398" s="22" t="s">
        <v>95</v>
      </c>
      <c r="AA398" s="22" t="s">
        <v>617</v>
      </c>
      <c r="AB398" s="21" t="s">
        <v>65</v>
      </c>
      <c r="AC398" s="21" t="s">
        <v>41</v>
      </c>
      <c r="AD398" s="21" t="s">
        <v>44</v>
      </c>
    </row>
    <row r="399" spans="1:30" x14ac:dyDescent="0.25">
      <c r="A399" s="19" t="s">
        <v>11</v>
      </c>
      <c r="B399" s="21" t="s">
        <v>1114</v>
      </c>
      <c r="C399" s="21">
        <v>5325827238</v>
      </c>
      <c r="D399" s="21" t="s">
        <v>15</v>
      </c>
      <c r="E399" s="19" t="str">
        <f>IFERROR(VLOOKUP(D399,Tanımlar!C:D,2,0),"- - -")</f>
        <v>PERAKENDE</v>
      </c>
      <c r="F399" s="21">
        <v>111217</v>
      </c>
      <c r="G399" s="21" t="str">
        <f>IFERROR(VLOOKUP(F399,'Personel Bilgi'!A:B,2,0),"- - - ")</f>
        <v>BERAT SARIDAG</v>
      </c>
      <c r="H399" s="21" t="str">
        <f>IFERROR(VLOOKUP(F399,'Personel Bilgi'!A:D,3,0),"- - -")</f>
        <v>KURTHAN FERDI CIHANTIMUR</v>
      </c>
      <c r="I399" s="21" t="str">
        <f>IFERROR(VLOOKUP(F399,'Personel Bilgi'!A:D,4,0),"- - -")</f>
        <v>KARS</v>
      </c>
      <c r="J399" s="21" t="str">
        <f>IFERROR(VLOOKUP(F399,'Personel Bilgi'!A:E,5,0),"- - -")</f>
        <v>MÜŞTERİ TEMSİLCİSİ</v>
      </c>
      <c r="K399" s="21" t="s">
        <v>65</v>
      </c>
      <c r="L399" s="21" t="s">
        <v>96</v>
      </c>
      <c r="M399" s="21" t="s">
        <v>29</v>
      </c>
      <c r="N399" s="36">
        <v>46020</v>
      </c>
      <c r="O399" s="36">
        <v>46022</v>
      </c>
      <c r="P399" s="19" t="s">
        <v>79</v>
      </c>
      <c r="Q399" s="37" t="s">
        <v>735</v>
      </c>
      <c r="R399" s="19" t="s">
        <v>86</v>
      </c>
      <c r="S399" s="21" t="s">
        <v>92</v>
      </c>
      <c r="T399" s="21" t="s">
        <v>94</v>
      </c>
      <c r="U399" s="21">
        <v>0</v>
      </c>
      <c r="V399" s="21" t="s">
        <v>736</v>
      </c>
      <c r="W399" s="21">
        <v>600788</v>
      </c>
      <c r="X399" s="19" t="str">
        <f>IFERROR(VLOOKUP(W399,'Personel Bilgi'!A:B,2,0),"---")</f>
        <v>EMIR HAN</v>
      </c>
      <c r="Y399" s="19" t="str">
        <f>IFERROR(VLOOKUP(W399,'Personel Bilgi'!A:C,3,0),"---")</f>
        <v>GORKEM SERT</v>
      </c>
      <c r="Z399" s="22" t="s">
        <v>94</v>
      </c>
      <c r="AA399" s="22" t="s">
        <v>616</v>
      </c>
      <c r="AB399" s="21" t="s">
        <v>65</v>
      </c>
      <c r="AC399" s="21" t="s">
        <v>96</v>
      </c>
      <c r="AD399" s="21" t="s">
        <v>29</v>
      </c>
    </row>
    <row r="400" spans="1:30" x14ac:dyDescent="0.2">
      <c r="A400" s="19" t="s">
        <v>10</v>
      </c>
      <c r="B400" s="21">
        <v>5445670715</v>
      </c>
      <c r="C400" s="21">
        <v>5445670715</v>
      </c>
      <c r="D400" s="21" t="s">
        <v>15</v>
      </c>
      <c r="E400" s="19" t="str">
        <f>IFERROR(VLOOKUP(D400,Tanımlar!C:D,2,0),"- - -")</f>
        <v>PERAKENDE</v>
      </c>
      <c r="F400" s="21">
        <v>111284</v>
      </c>
      <c r="G400" s="21" t="str">
        <f>IFERROR(VLOOKUP(F400,'Personel Bilgi'!A:B,2,0),"- - - ")</f>
        <v>NESLIHAN YAGAN</v>
      </c>
      <c r="H400" s="21" t="str">
        <f>IFERROR(VLOOKUP(F400,'Personel Bilgi'!A:D,3,0),"- - -")</f>
        <v>MUHAMMET AKSU</v>
      </c>
      <c r="I400" s="21" t="str">
        <f>IFERROR(VLOOKUP(F400,'Personel Bilgi'!A:D,4,0),"- - -")</f>
        <v>KARS</v>
      </c>
      <c r="J400" s="21" t="str">
        <f>IFERROR(VLOOKUP(F400,'Personel Bilgi'!A:E,5,0),"- - -")</f>
        <v>MÜŞTERİ TEMSİLCİSİ</v>
      </c>
      <c r="K400" s="21" t="s">
        <v>65</v>
      </c>
      <c r="L400" s="21" t="s">
        <v>96</v>
      </c>
      <c r="M400" s="21" t="s">
        <v>29</v>
      </c>
      <c r="N400" s="36">
        <v>46013</v>
      </c>
      <c r="O400" s="36">
        <v>46022</v>
      </c>
      <c r="P400" s="19" t="s">
        <v>79</v>
      </c>
      <c r="Q400" s="37" t="s">
        <v>735</v>
      </c>
      <c r="R400" s="19" t="s">
        <v>86</v>
      </c>
      <c r="S400" s="21" t="s">
        <v>92</v>
      </c>
      <c r="T400" s="21" t="s">
        <v>94</v>
      </c>
      <c r="U400" s="21">
        <v>0</v>
      </c>
      <c r="V400" s="21" t="s">
        <v>736</v>
      </c>
      <c r="W400" s="50">
        <v>666666</v>
      </c>
      <c r="X400" s="19" t="str">
        <f>IFERROR(VLOOKUP(W400,'Personel Bilgi'!A:B,2,0),"---")</f>
        <v>İÇ BİRİM</v>
      </c>
      <c r="Y400" s="19" t="str">
        <f>IFERROR(VLOOKUP(W400,'Personel Bilgi'!A:C,3,0),"---")</f>
        <v>İÇ BİRİM</v>
      </c>
      <c r="Z400" s="19" t="str">
        <f>IFERROR(VLOOKUP(X400,'Personel Bilgi'!B:D,3,0),"---")</f>
        <v>İÇ BİRİM</v>
      </c>
      <c r="AA400" s="19" t="str">
        <f>IFERROR(VLOOKUP(Y400,'Personel Bilgi'!C:E,3,0),"---")</f>
        <v>İÇ BİRİM</v>
      </c>
      <c r="AB400" s="21" t="s">
        <v>65</v>
      </c>
      <c r="AC400" s="21" t="s">
        <v>96</v>
      </c>
      <c r="AD400" s="21" t="s">
        <v>29</v>
      </c>
    </row>
    <row r="401" spans="1:30" x14ac:dyDescent="0.25">
      <c r="A401" s="19" t="s">
        <v>11</v>
      </c>
      <c r="B401" s="21" t="s">
        <v>1115</v>
      </c>
      <c r="C401" s="21">
        <v>5322150637</v>
      </c>
      <c r="D401" s="21" t="s">
        <v>15</v>
      </c>
      <c r="E401" s="19" t="str">
        <f>IFERROR(VLOOKUP(D401,Tanımlar!C:D,2,0),"- - -")</f>
        <v>PERAKENDE</v>
      </c>
      <c r="F401" s="21">
        <v>111202</v>
      </c>
      <c r="G401" s="21" t="str">
        <f>IFERROR(VLOOKUP(F401,'Personel Bilgi'!A:B,2,0),"- - - ")</f>
        <v>HAZAL BULUT</v>
      </c>
      <c r="H401" s="21" t="str">
        <f>IFERROR(VLOOKUP(F401,'Personel Bilgi'!A:D,3,0),"- - -")</f>
        <v>SEDA SEBU</v>
      </c>
      <c r="I401" s="21" t="str">
        <f>IFERROR(VLOOKUP(F401,'Personel Bilgi'!A:D,4,0),"- - -")</f>
        <v>KARS</v>
      </c>
      <c r="J401" s="21" t="str">
        <f>IFERROR(VLOOKUP(F401,'Personel Bilgi'!A:E,5,0),"- - -")</f>
        <v>MÜŞTERİ TEMSİLCİSİ</v>
      </c>
      <c r="K401" s="22" t="s">
        <v>66</v>
      </c>
      <c r="L401" s="21" t="s">
        <v>97</v>
      </c>
      <c r="M401" s="21" t="s">
        <v>734</v>
      </c>
      <c r="N401" s="36">
        <v>46021</v>
      </c>
      <c r="O401" s="36">
        <v>46022</v>
      </c>
      <c r="P401" s="21" t="s">
        <v>81</v>
      </c>
      <c r="Q401" s="37" t="s">
        <v>735</v>
      </c>
      <c r="R401" s="19" t="s">
        <v>86</v>
      </c>
      <c r="S401" s="21" t="s">
        <v>92</v>
      </c>
      <c r="T401" s="21" t="s">
        <v>95</v>
      </c>
      <c r="U401" s="21">
        <v>90</v>
      </c>
      <c r="V401" s="21" t="s">
        <v>736</v>
      </c>
      <c r="W401" s="21">
        <v>600798</v>
      </c>
      <c r="X401" s="19" t="str">
        <f>IFERROR(VLOOKUP(W401,'Personel Bilgi'!A:B,2,0),"---")</f>
        <v>SUDENUR ALTUN</v>
      </c>
      <c r="Y401" s="19" t="str">
        <f>IFERROR(VLOOKUP(W401,'Personel Bilgi'!A:C,3,0),"---")</f>
        <v>BUSRA OLCULMUS</v>
      </c>
      <c r="Z401" s="22" t="s">
        <v>95</v>
      </c>
      <c r="AA401" s="22" t="s">
        <v>617</v>
      </c>
      <c r="AB401" s="22" t="s">
        <v>66</v>
      </c>
      <c r="AC401" s="21" t="s">
        <v>97</v>
      </c>
      <c r="AD401" s="21" t="s">
        <v>734</v>
      </c>
    </row>
    <row r="402" spans="1:30" x14ac:dyDescent="0.25">
      <c r="A402" s="19" t="s">
        <v>11</v>
      </c>
      <c r="B402" s="21" t="s">
        <v>1116</v>
      </c>
      <c r="C402" s="21">
        <v>5316607548</v>
      </c>
      <c r="D402" s="21" t="s">
        <v>14</v>
      </c>
      <c r="E402" s="19" t="str">
        <f>IFERROR(VLOOKUP(D402,Tanımlar!C:D,2,0),"- - -")</f>
        <v>DAĞITIM</v>
      </c>
      <c r="F402" s="21">
        <v>500015</v>
      </c>
      <c r="G402" s="21" t="str">
        <f>IFERROR(VLOOKUP(F402,'Personel Bilgi'!A:B,2,0),"- - - ")</f>
        <v>DOGAN KOCAK</v>
      </c>
      <c r="H402" s="21" t="str">
        <f>IFERROR(VLOOKUP(F402,'Personel Bilgi'!A:D,3,0),"- - -")</f>
        <v>ERDOGAN DURUK</v>
      </c>
      <c r="I402" s="21" t="str">
        <f>IFERROR(VLOOKUP(F402,'Personel Bilgi'!A:D,4,0),"- - -")</f>
        <v>ERZURUM</v>
      </c>
      <c r="J402" s="21" t="str">
        <f>IFERROR(VLOOKUP(F402,'Personel Bilgi'!A:E,5,0),"- - -")</f>
        <v>MÜŞTERİ TEMSİLCİSİ</v>
      </c>
      <c r="K402" s="21" t="s">
        <v>57</v>
      </c>
      <c r="L402" s="21" t="s">
        <v>97</v>
      </c>
      <c r="M402" s="21" t="s">
        <v>734</v>
      </c>
      <c r="N402" s="36">
        <v>46019</v>
      </c>
      <c r="O402" s="36">
        <v>46022</v>
      </c>
      <c r="P402" s="19" t="s">
        <v>79</v>
      </c>
      <c r="Q402" s="37" t="s">
        <v>735</v>
      </c>
      <c r="R402" s="21" t="s">
        <v>790</v>
      </c>
      <c r="S402" s="21" t="s">
        <v>92</v>
      </c>
      <c r="T402" s="21" t="s">
        <v>94</v>
      </c>
      <c r="U402" s="21">
        <v>0</v>
      </c>
      <c r="V402" s="21" t="s">
        <v>736</v>
      </c>
      <c r="W402" s="21">
        <v>600462</v>
      </c>
      <c r="X402" s="19" t="str">
        <f>IFERROR(VLOOKUP(W402,'Personel Bilgi'!A:B,2,0),"---")</f>
        <v>DAMLA GUNEY</v>
      </c>
      <c r="Y402" s="19" t="str">
        <f>IFERROR(VLOOKUP(W402,'Personel Bilgi'!A:C,3,0),"---")</f>
        <v xml:space="preserve">İNAN UMUT ÖRNEK </v>
      </c>
      <c r="Z402" s="22" t="s">
        <v>94</v>
      </c>
      <c r="AA402" s="22" t="s">
        <v>615</v>
      </c>
      <c r="AB402" s="21" t="s">
        <v>57</v>
      </c>
      <c r="AC402" s="21" t="s">
        <v>97</v>
      </c>
      <c r="AD402" s="21" t="s">
        <v>734</v>
      </c>
    </row>
    <row r="403" spans="1:30" x14ac:dyDescent="0.25">
      <c r="A403" s="19" t="s">
        <v>11</v>
      </c>
      <c r="B403" s="21" t="s">
        <v>1117</v>
      </c>
      <c r="C403" s="21">
        <v>5326274381</v>
      </c>
      <c r="D403" s="21" t="s">
        <v>14</v>
      </c>
      <c r="E403" s="19" t="str">
        <f>IFERROR(VLOOKUP(D403,Tanımlar!C:D,2,0),"- - -")</f>
        <v>DAĞITIM</v>
      </c>
      <c r="F403" s="47">
        <v>111210</v>
      </c>
      <c r="G403" s="21" t="str">
        <f>IFERROR(VLOOKUP(F403,'Personel Bilgi'!A:B,2,0),"- - - ")</f>
        <v>SIMGE KANBAY</v>
      </c>
      <c r="H403" s="21" t="str">
        <f>IFERROR(VLOOKUP(F403,'Personel Bilgi'!A:D,3,0),"- - -")</f>
        <v>SAFAK TOPTAS</v>
      </c>
      <c r="I403" s="21" t="str">
        <f>IFERROR(VLOOKUP(F403,'Personel Bilgi'!A:D,4,0),"- - -")</f>
        <v>KARS</v>
      </c>
      <c r="J403" s="21" t="str">
        <f>IFERROR(VLOOKUP(F403,'Personel Bilgi'!A:E,5,0),"- - -")</f>
        <v>MÜŞTERİ TEMSİLCİSİ</v>
      </c>
      <c r="K403" s="21" t="s">
        <v>70</v>
      </c>
      <c r="L403" s="21" t="s">
        <v>97</v>
      </c>
      <c r="M403" s="21" t="s">
        <v>24</v>
      </c>
      <c r="N403" s="36">
        <v>46021</v>
      </c>
      <c r="O403" s="36">
        <v>46022</v>
      </c>
      <c r="P403" s="19" t="s">
        <v>79</v>
      </c>
      <c r="Q403" s="37" t="s">
        <v>735</v>
      </c>
      <c r="R403" s="21" t="s">
        <v>790</v>
      </c>
      <c r="S403" s="21" t="s">
        <v>92</v>
      </c>
      <c r="T403" s="21" t="s">
        <v>94</v>
      </c>
      <c r="U403" s="21">
        <v>0</v>
      </c>
      <c r="V403" s="21" t="s">
        <v>736</v>
      </c>
      <c r="W403" s="21">
        <v>111246</v>
      </c>
      <c r="X403" s="19" t="str">
        <f>IFERROR(VLOOKUP(W403,'Personel Bilgi'!A:B,2,0),"---")</f>
        <v>YASIN DIREK</v>
      </c>
      <c r="Y403" s="19" t="str">
        <f>IFERROR(VLOOKUP(W403,'Personel Bilgi'!A:C,3,0),"---")</f>
        <v>SEVCAN BULUT</v>
      </c>
      <c r="Z403" s="22" t="s">
        <v>94</v>
      </c>
      <c r="AA403" s="22" t="s">
        <v>616</v>
      </c>
      <c r="AB403" s="21" t="s">
        <v>70</v>
      </c>
      <c r="AC403" s="21" t="s">
        <v>97</v>
      </c>
      <c r="AD403" s="21" t="s">
        <v>24</v>
      </c>
    </row>
    <row r="404" spans="1:30" x14ac:dyDescent="0.25">
      <c r="A404" s="19" t="s">
        <v>11</v>
      </c>
      <c r="B404" s="21" t="s">
        <v>1118</v>
      </c>
      <c r="C404" s="21">
        <v>5541902701</v>
      </c>
      <c r="D404" s="21" t="s">
        <v>14</v>
      </c>
      <c r="E404" s="19" t="str">
        <f>IFERROR(VLOOKUP(D404,Tanımlar!C:D,2,0),"- - -")</f>
        <v>DAĞITIM</v>
      </c>
      <c r="F404" s="21">
        <v>500182</v>
      </c>
      <c r="G404" s="21" t="str">
        <f>IFERROR(VLOOKUP(F404,'Personel Bilgi'!A:B,2,0),"- - - ")</f>
        <v>KADIR OKAY BOGACLI</v>
      </c>
      <c r="H404" s="21" t="str">
        <f>IFERROR(VLOOKUP(F404,'Personel Bilgi'!A:D,3,0),"- - -")</f>
        <v>TURGUT AKDAG</v>
      </c>
      <c r="I404" s="21" t="str">
        <f>IFERROR(VLOOKUP(F404,'Personel Bilgi'!A:D,4,0),"- - -")</f>
        <v>ERZURUM</v>
      </c>
      <c r="J404" s="21" t="str">
        <f>IFERROR(VLOOKUP(F404,'Personel Bilgi'!A:E,5,0),"- - -")</f>
        <v>MÜŞTERİ TEMSİLCİSİ</v>
      </c>
      <c r="K404" s="22" t="s">
        <v>49</v>
      </c>
      <c r="L404" s="21" t="s">
        <v>96</v>
      </c>
      <c r="M404" s="21" t="s">
        <v>40</v>
      </c>
      <c r="N404" s="36">
        <v>46021</v>
      </c>
      <c r="O404" s="36">
        <v>46022</v>
      </c>
      <c r="P404" s="21" t="s">
        <v>1145</v>
      </c>
      <c r="Q404" s="37" t="s">
        <v>735</v>
      </c>
      <c r="R404" s="21" t="s">
        <v>790</v>
      </c>
      <c r="S404" s="21" t="s">
        <v>92</v>
      </c>
      <c r="T404" s="21" t="s">
        <v>94</v>
      </c>
      <c r="U404" s="21">
        <v>0</v>
      </c>
      <c r="V404" s="21" t="s">
        <v>736</v>
      </c>
      <c r="W404" s="21">
        <v>500036</v>
      </c>
      <c r="X404" s="19" t="str">
        <f>IFERROR(VLOOKUP(W404,'Personel Bilgi'!A:B,2,0),"---")</f>
        <v>SEYDANUR KARADABAG EFE</v>
      </c>
      <c r="Y404" s="19" t="str">
        <f>IFERROR(VLOOKUP(W404,'Personel Bilgi'!A:C,3,0),"---")</f>
        <v>ERDOGAN DURUK</v>
      </c>
      <c r="Z404" s="22" t="s">
        <v>95</v>
      </c>
      <c r="AA404" s="22" t="s">
        <v>617</v>
      </c>
      <c r="AB404" s="22" t="s">
        <v>49</v>
      </c>
      <c r="AC404" s="21" t="s">
        <v>96</v>
      </c>
      <c r="AD404" s="21" t="s">
        <v>40</v>
      </c>
    </row>
    <row r="405" spans="1:30" x14ac:dyDescent="0.25">
      <c r="A405" s="19" t="s">
        <v>11</v>
      </c>
      <c r="B405" s="21" t="s">
        <v>1119</v>
      </c>
      <c r="C405" s="21">
        <v>5461243444</v>
      </c>
      <c r="D405" s="21" t="s">
        <v>14</v>
      </c>
      <c r="E405" s="19" t="str">
        <f>IFERROR(VLOOKUP(D405,Tanımlar!C:D,2,0),"- - -")</f>
        <v>DAĞITIM</v>
      </c>
      <c r="F405" s="21">
        <v>500055</v>
      </c>
      <c r="G405" s="21" t="str">
        <f>IFERROR(VLOOKUP(F405,'Personel Bilgi'!A:B,2,0),"- - - ")</f>
        <v>MURAT YILDIZ</v>
      </c>
      <c r="H405" s="21" t="str">
        <f>IFERROR(VLOOKUP(F405,'Personel Bilgi'!A:D,3,0),"- - -")</f>
        <v>MEHMET ALI SAVAN</v>
      </c>
      <c r="I405" s="21" t="str">
        <f>IFERROR(VLOOKUP(F405,'Personel Bilgi'!A:D,4,0),"- - -")</f>
        <v>ERZURUM</v>
      </c>
      <c r="J405" s="21" t="str">
        <f>IFERROR(VLOOKUP(F405,'Personel Bilgi'!A:E,5,0),"- - -")</f>
        <v>MÜŞTERİ TEMSİLCİSİ</v>
      </c>
      <c r="K405" s="22" t="s">
        <v>49</v>
      </c>
      <c r="L405" s="21" t="s">
        <v>96</v>
      </c>
      <c r="M405" s="21" t="s">
        <v>40</v>
      </c>
      <c r="N405" s="36">
        <v>46021</v>
      </c>
      <c r="O405" s="36">
        <v>46022</v>
      </c>
      <c r="P405" s="21" t="s">
        <v>1145</v>
      </c>
      <c r="Q405" s="37" t="s">
        <v>735</v>
      </c>
      <c r="R405" s="21" t="s">
        <v>790</v>
      </c>
      <c r="S405" s="21" t="s">
        <v>92</v>
      </c>
      <c r="T405" s="21" t="s">
        <v>94</v>
      </c>
      <c r="U405" s="21">
        <v>0</v>
      </c>
      <c r="V405" s="21" t="s">
        <v>736</v>
      </c>
      <c r="W405" s="21">
        <v>500128</v>
      </c>
      <c r="X405" s="19" t="str">
        <f>IFERROR(VLOOKUP(W405,'Personel Bilgi'!A:B,2,0),"---")</f>
        <v>NILUFER HAZAN CIFCI</v>
      </c>
      <c r="Y405" s="19" t="str">
        <f>IFERROR(VLOOKUP(W405,'Personel Bilgi'!A:C,3,0),"---")</f>
        <v>SAMET KOCABEYOGLU</v>
      </c>
      <c r="Z405" s="22" t="s">
        <v>95</v>
      </c>
      <c r="AA405" s="22" t="s">
        <v>617</v>
      </c>
      <c r="AB405" s="22" t="s">
        <v>49</v>
      </c>
      <c r="AC405" s="21" t="s">
        <v>96</v>
      </c>
      <c r="AD405" s="21" t="s">
        <v>40</v>
      </c>
    </row>
    <row r="406" spans="1:30" x14ac:dyDescent="0.25">
      <c r="A406" s="19" t="s">
        <v>11</v>
      </c>
      <c r="B406" s="21" t="s">
        <v>1119</v>
      </c>
      <c r="C406" s="21">
        <v>5461243444</v>
      </c>
      <c r="D406" s="21" t="s">
        <v>14</v>
      </c>
      <c r="E406" s="19" t="str">
        <f>IFERROR(VLOOKUP(D406,Tanımlar!C:D,2,0),"- - -")</f>
        <v>DAĞITIM</v>
      </c>
      <c r="F406" s="47">
        <v>500035</v>
      </c>
      <c r="G406" s="21" t="str">
        <f>IFERROR(VLOOKUP(F406,'Personel Bilgi'!A:B,2,0),"- - - ")</f>
        <v>SERIFE ALPER</v>
      </c>
      <c r="H406" s="21" t="str">
        <f>IFERROR(VLOOKUP(F406,'Personel Bilgi'!A:D,3,0),"- - -")</f>
        <v>ERDOGAN DURUK</v>
      </c>
      <c r="I406" s="21" t="str">
        <f>IFERROR(VLOOKUP(F406,'Personel Bilgi'!A:D,4,0),"- - -")</f>
        <v>ERZURUM</v>
      </c>
      <c r="J406" s="21" t="str">
        <f>IFERROR(VLOOKUP(F406,'Personel Bilgi'!A:E,5,0),"- - -")</f>
        <v>MÜŞTERİ TEMSİLCİSİ</v>
      </c>
      <c r="K406" s="22" t="s">
        <v>49</v>
      </c>
      <c r="L406" s="21" t="s">
        <v>96</v>
      </c>
      <c r="M406" s="21" t="s">
        <v>40</v>
      </c>
      <c r="N406" s="36">
        <v>46021</v>
      </c>
      <c r="O406" s="36">
        <v>46022</v>
      </c>
      <c r="P406" s="21" t="s">
        <v>1145</v>
      </c>
      <c r="Q406" s="37" t="s">
        <v>735</v>
      </c>
      <c r="R406" s="21" t="s">
        <v>790</v>
      </c>
      <c r="S406" s="21" t="s">
        <v>92</v>
      </c>
      <c r="T406" s="21" t="s">
        <v>94</v>
      </c>
      <c r="U406" s="21">
        <v>0</v>
      </c>
      <c r="V406" s="21" t="s">
        <v>736</v>
      </c>
      <c r="W406" s="21">
        <v>500128</v>
      </c>
      <c r="X406" s="19" t="str">
        <f>IFERROR(VLOOKUP(W406,'Personel Bilgi'!A:B,2,0),"---")</f>
        <v>NILUFER HAZAN CIFCI</v>
      </c>
      <c r="Y406" s="19" t="str">
        <f>IFERROR(VLOOKUP(W406,'Personel Bilgi'!A:C,3,0),"---")</f>
        <v>SAMET KOCABEYOGLU</v>
      </c>
      <c r="Z406" s="22" t="s">
        <v>95</v>
      </c>
      <c r="AA406" s="22" t="s">
        <v>617</v>
      </c>
      <c r="AB406" s="22" t="s">
        <v>49</v>
      </c>
      <c r="AC406" s="21" t="s">
        <v>96</v>
      </c>
      <c r="AD406" s="21" t="s">
        <v>40</v>
      </c>
    </row>
    <row r="407" spans="1:30" x14ac:dyDescent="0.25">
      <c r="A407" s="19" t="s">
        <v>11</v>
      </c>
      <c r="B407" s="21" t="s">
        <v>1119</v>
      </c>
      <c r="C407" s="21">
        <v>5461243444</v>
      </c>
      <c r="D407" s="21" t="s">
        <v>14</v>
      </c>
      <c r="E407" s="19" t="str">
        <f>IFERROR(VLOOKUP(D407,Tanımlar!C:D,2,0),"- - -")</f>
        <v>DAĞITIM</v>
      </c>
      <c r="F407" s="47">
        <v>111244</v>
      </c>
      <c r="G407" s="21" t="str">
        <f>IFERROR(VLOOKUP(F407,'Personel Bilgi'!A:B,2,0),"- - - ")</f>
        <v>ABDULLAH UMIT OZTURK</v>
      </c>
      <c r="H407" s="21" t="str">
        <f>IFERROR(VLOOKUP(F407,'Personel Bilgi'!A:D,3,0),"- - -")</f>
        <v>SEVCAN BULUT</v>
      </c>
      <c r="I407" s="21" t="str">
        <f>IFERROR(VLOOKUP(F407,'Personel Bilgi'!A:D,4,0),"- - -")</f>
        <v>KARS</v>
      </c>
      <c r="J407" s="21" t="str">
        <f>IFERROR(VLOOKUP(F407,'Personel Bilgi'!A:E,5,0),"- - -")</f>
        <v>MÜŞTERİ TEMSİLCİSİ</v>
      </c>
      <c r="K407" s="22" t="s">
        <v>49</v>
      </c>
      <c r="L407" s="21" t="s">
        <v>96</v>
      </c>
      <c r="M407" s="21" t="s">
        <v>40</v>
      </c>
      <c r="N407" s="36">
        <v>46021</v>
      </c>
      <c r="O407" s="36">
        <v>46022</v>
      </c>
      <c r="P407" s="21" t="s">
        <v>81</v>
      </c>
      <c r="Q407" s="37" t="s">
        <v>735</v>
      </c>
      <c r="R407" s="21" t="s">
        <v>790</v>
      </c>
      <c r="S407" s="21" t="s">
        <v>92</v>
      </c>
      <c r="T407" s="21" t="s">
        <v>95</v>
      </c>
      <c r="U407" s="21">
        <v>90</v>
      </c>
      <c r="V407" s="21" t="s">
        <v>736</v>
      </c>
      <c r="W407" s="21">
        <v>500128</v>
      </c>
      <c r="X407" s="19" t="str">
        <f>IFERROR(VLOOKUP(W407,'Personel Bilgi'!A:B,2,0),"---")</f>
        <v>NILUFER HAZAN CIFCI</v>
      </c>
      <c r="Y407" s="19" t="str">
        <f>IFERROR(VLOOKUP(W407,'Personel Bilgi'!A:C,3,0),"---")</f>
        <v>SAMET KOCABEYOGLU</v>
      </c>
      <c r="Z407" s="22" t="s">
        <v>95</v>
      </c>
      <c r="AA407" s="22" t="s">
        <v>617</v>
      </c>
      <c r="AB407" s="22" t="s">
        <v>49</v>
      </c>
      <c r="AC407" s="21" t="s">
        <v>96</v>
      </c>
      <c r="AD407" s="21" t="s">
        <v>40</v>
      </c>
    </row>
    <row r="408" spans="1:30" x14ac:dyDescent="0.25">
      <c r="A408" s="19" t="s">
        <v>11</v>
      </c>
      <c r="B408" s="21" t="s">
        <v>1120</v>
      </c>
      <c r="C408" s="21">
        <v>5330955700</v>
      </c>
      <c r="D408" s="21" t="s">
        <v>14</v>
      </c>
      <c r="E408" s="19" t="str">
        <f>IFERROR(VLOOKUP(D408,Tanımlar!C:D,2,0),"- - -")</f>
        <v>DAĞITIM</v>
      </c>
      <c r="F408" s="21">
        <v>111155</v>
      </c>
      <c r="G408" s="21" t="str">
        <f>IFERROR(VLOOKUP(F408,'Personel Bilgi'!A:B,2,0),"- - - ")</f>
        <v>SAMET TEKIN</v>
      </c>
      <c r="H408" s="21" t="str">
        <f>IFERROR(VLOOKUP(F408,'Personel Bilgi'!A:D,3,0),"- - -")</f>
        <v>SAFAK TOPTAS</v>
      </c>
      <c r="I408" s="21" t="str">
        <f>IFERROR(VLOOKUP(F408,'Personel Bilgi'!A:D,4,0),"- - -")</f>
        <v>KARS</v>
      </c>
      <c r="J408" s="21" t="str">
        <f>IFERROR(VLOOKUP(F408,'Personel Bilgi'!A:E,5,0),"- - -")</f>
        <v>MÜŞTERİ TEMSİLCİSİ</v>
      </c>
      <c r="K408" s="22" t="s">
        <v>49</v>
      </c>
      <c r="L408" s="22" t="s">
        <v>47</v>
      </c>
      <c r="M408" s="21" t="s">
        <v>603</v>
      </c>
      <c r="N408" s="36">
        <v>46022</v>
      </c>
      <c r="O408" s="36">
        <v>46022</v>
      </c>
      <c r="P408" s="21" t="s">
        <v>80</v>
      </c>
      <c r="Q408" s="37" t="s">
        <v>735</v>
      </c>
      <c r="R408" s="21" t="s">
        <v>790</v>
      </c>
      <c r="S408" s="21" t="s">
        <v>92</v>
      </c>
      <c r="T408" s="21" t="s">
        <v>95</v>
      </c>
      <c r="U408" s="21">
        <v>100</v>
      </c>
      <c r="V408" s="21" t="s">
        <v>736</v>
      </c>
      <c r="W408" s="21">
        <v>111145</v>
      </c>
      <c r="X408" s="19" t="str">
        <f>IFERROR(VLOOKUP(W408,'Personel Bilgi'!A:B,2,0),"---")</f>
        <v>HATICE AYAG</v>
      </c>
      <c r="Y408" s="19" t="str">
        <f>IFERROR(VLOOKUP(W408,'Personel Bilgi'!A:C,3,0),"---")</f>
        <v>ERCUMENT GUNESSU</v>
      </c>
      <c r="Z408" s="22" t="s">
        <v>95</v>
      </c>
      <c r="AA408" s="22" t="s">
        <v>617</v>
      </c>
      <c r="AB408" s="22" t="s">
        <v>49</v>
      </c>
      <c r="AC408" s="22" t="s">
        <v>47</v>
      </c>
      <c r="AD408" s="21" t="s">
        <v>603</v>
      </c>
    </row>
    <row r="409" spans="1:30" x14ac:dyDescent="0.25">
      <c r="A409" s="19" t="s">
        <v>11</v>
      </c>
      <c r="B409" s="21" t="s">
        <v>1121</v>
      </c>
      <c r="C409" s="21">
        <v>5465517454</v>
      </c>
      <c r="D409" s="21" t="s">
        <v>12</v>
      </c>
      <c r="E409" s="19" t="str">
        <f>IFERROR(VLOOKUP(D409,Tanımlar!C:D,2,0),"- - -")</f>
        <v>DAĞITIM</v>
      </c>
      <c r="F409" s="21">
        <v>500107</v>
      </c>
      <c r="G409" s="21" t="str">
        <f>IFERROR(VLOOKUP(F409,'Personel Bilgi'!A:B,2,0),"- - - ")</f>
        <v>MERVENUR CELIK</v>
      </c>
      <c r="H409" s="21" t="str">
        <f>IFERROR(VLOOKUP(F409,'Personel Bilgi'!A:D,3,0),"- - -")</f>
        <v>METEHAN EMRE SIRMALI</v>
      </c>
      <c r="I409" s="21" t="str">
        <f>IFERROR(VLOOKUP(F409,'Personel Bilgi'!A:D,4,0),"- - -")</f>
        <v>ERZURUM</v>
      </c>
      <c r="J409" s="21" t="str">
        <f>IFERROR(VLOOKUP(F409,'Personel Bilgi'!A:E,5,0),"- - -")</f>
        <v>MÜŞTERİ TEMSİLCİSİ</v>
      </c>
      <c r="K409" s="22" t="s">
        <v>49</v>
      </c>
      <c r="L409" s="21" t="s">
        <v>97</v>
      </c>
      <c r="M409" s="21" t="s">
        <v>734</v>
      </c>
      <c r="N409" s="36">
        <v>46021</v>
      </c>
      <c r="O409" s="36">
        <v>46022</v>
      </c>
      <c r="P409" s="21" t="s">
        <v>81</v>
      </c>
      <c r="Q409" s="37" t="s">
        <v>735</v>
      </c>
      <c r="R409" s="21" t="s">
        <v>790</v>
      </c>
      <c r="S409" s="21" t="s">
        <v>93</v>
      </c>
      <c r="T409" s="21" t="s">
        <v>95</v>
      </c>
      <c r="U409" s="21" t="s">
        <v>735</v>
      </c>
      <c r="V409" s="21" t="s">
        <v>736</v>
      </c>
      <c r="W409" s="21">
        <v>500188</v>
      </c>
      <c r="X409" s="19" t="str">
        <f>IFERROR(VLOOKUP(W409,'Personel Bilgi'!A:B,2,0),"---")</f>
        <v>RUKIYE GUNGOR</v>
      </c>
      <c r="Y409" s="19" t="str">
        <f>IFERROR(VLOOKUP(W409,'Personel Bilgi'!A:C,3,0),"---")</f>
        <v>TURGUT AKDAG</v>
      </c>
      <c r="Z409" s="22" t="s">
        <v>94</v>
      </c>
      <c r="AA409" s="22" t="s">
        <v>616</v>
      </c>
      <c r="AB409" s="22" t="s">
        <v>49</v>
      </c>
      <c r="AC409" s="21" t="s">
        <v>97</v>
      </c>
      <c r="AD409" s="21" t="s">
        <v>734</v>
      </c>
    </row>
    <row r="410" spans="1:30" x14ac:dyDescent="0.25">
      <c r="A410" s="19" t="s">
        <v>11</v>
      </c>
      <c r="B410" s="21" t="s">
        <v>1122</v>
      </c>
      <c r="C410" s="21">
        <v>5453928055</v>
      </c>
      <c r="D410" s="21" t="s">
        <v>12</v>
      </c>
      <c r="E410" s="19" t="str">
        <f>IFERROR(VLOOKUP(D410,Tanımlar!C:D,2,0),"- - -")</f>
        <v>DAĞITIM</v>
      </c>
      <c r="F410" s="21">
        <v>500196</v>
      </c>
      <c r="G410" s="21" t="str">
        <f>IFERROR(VLOOKUP(F410,'Personel Bilgi'!A:B,2,0),"- - - ")</f>
        <v>MUHAMMED IKBAL KARABACAK</v>
      </c>
      <c r="H410" s="21" t="str">
        <f>IFERROR(VLOOKUP(F410,'Personel Bilgi'!A:D,3,0),"- - -")</f>
        <v>TURGUT AKDAG</v>
      </c>
      <c r="I410" s="21" t="str">
        <f>IFERROR(VLOOKUP(F410,'Personel Bilgi'!A:D,4,0),"- - -")</f>
        <v>ERZURUM</v>
      </c>
      <c r="J410" s="21" t="str">
        <f>IFERROR(VLOOKUP(F410,'Personel Bilgi'!A:E,5,0),"- - -")</f>
        <v>MÜŞTERİ TEMSİLCİSİ</v>
      </c>
      <c r="K410" s="22" t="s">
        <v>49</v>
      </c>
      <c r="L410" s="21" t="s">
        <v>41</v>
      </c>
      <c r="M410" s="21" t="s">
        <v>44</v>
      </c>
      <c r="N410" s="36">
        <v>46021</v>
      </c>
      <c r="O410" s="36">
        <v>46022</v>
      </c>
      <c r="P410" s="19" t="s">
        <v>79</v>
      </c>
      <c r="Q410" s="37" t="s">
        <v>735</v>
      </c>
      <c r="R410" s="21" t="s">
        <v>790</v>
      </c>
      <c r="S410" s="21" t="s">
        <v>92</v>
      </c>
      <c r="T410" s="21" t="s">
        <v>94</v>
      </c>
      <c r="U410" s="21">
        <v>0</v>
      </c>
      <c r="V410" s="21" t="s">
        <v>736</v>
      </c>
      <c r="W410" s="21">
        <v>500035</v>
      </c>
      <c r="X410" s="19" t="str">
        <f>IFERROR(VLOOKUP(W410,'Personel Bilgi'!A:B,2,0),"---")</f>
        <v>SERIFE ALPER</v>
      </c>
      <c r="Y410" s="19" t="str">
        <f>IFERROR(VLOOKUP(W410,'Personel Bilgi'!A:C,3,0),"---")</f>
        <v>ERDOGAN DURUK</v>
      </c>
      <c r="Z410" s="22" t="s">
        <v>94</v>
      </c>
      <c r="AA410" s="22" t="s">
        <v>616</v>
      </c>
      <c r="AB410" s="22" t="s">
        <v>49</v>
      </c>
      <c r="AC410" s="21" t="s">
        <v>41</v>
      </c>
      <c r="AD410" s="21" t="s">
        <v>44</v>
      </c>
    </row>
    <row r="411" spans="1:30" x14ac:dyDescent="0.25">
      <c r="A411" s="19" t="s">
        <v>11</v>
      </c>
      <c r="B411" s="21" t="s">
        <v>1123</v>
      </c>
      <c r="C411" s="21">
        <v>5077748650</v>
      </c>
      <c r="D411" s="21" t="s">
        <v>12</v>
      </c>
      <c r="E411" s="19" t="str">
        <f>IFERROR(VLOOKUP(D411,Tanımlar!C:D,2,0),"- - -")</f>
        <v>DAĞITIM</v>
      </c>
      <c r="F411" s="21">
        <v>111155</v>
      </c>
      <c r="G411" s="21" t="str">
        <f>IFERROR(VLOOKUP(F411,'Personel Bilgi'!A:B,2,0),"- - - ")</f>
        <v>SAMET TEKIN</v>
      </c>
      <c r="H411" s="21" t="str">
        <f>IFERROR(VLOOKUP(F411,'Personel Bilgi'!A:D,3,0),"- - -")</f>
        <v>SAFAK TOPTAS</v>
      </c>
      <c r="I411" s="21" t="str">
        <f>IFERROR(VLOOKUP(F411,'Personel Bilgi'!A:D,4,0),"- - -")</f>
        <v>KARS</v>
      </c>
      <c r="J411" s="21" t="str">
        <f>IFERROR(VLOOKUP(F411,'Personel Bilgi'!A:E,5,0),"- - -")</f>
        <v>MÜŞTERİ TEMSİLCİSİ</v>
      </c>
      <c r="K411" s="22" t="s">
        <v>49</v>
      </c>
      <c r="L411" s="21" t="s">
        <v>41</v>
      </c>
      <c r="M411" s="21" t="s">
        <v>42</v>
      </c>
      <c r="N411" s="36">
        <v>46022</v>
      </c>
      <c r="O411" s="36">
        <v>46022</v>
      </c>
      <c r="P411" s="21" t="s">
        <v>1145</v>
      </c>
      <c r="Q411" s="37" t="s">
        <v>735</v>
      </c>
      <c r="R411" s="21" t="s">
        <v>790</v>
      </c>
      <c r="S411" s="21" t="s">
        <v>92</v>
      </c>
      <c r="T411" s="21" t="s">
        <v>94</v>
      </c>
      <c r="U411" s="21">
        <v>0</v>
      </c>
      <c r="V411" s="21" t="s">
        <v>736</v>
      </c>
      <c r="W411" s="21">
        <v>111155</v>
      </c>
      <c r="X411" s="19" t="str">
        <f>IFERROR(VLOOKUP(W411,'Personel Bilgi'!A:B,2,0),"---")</f>
        <v>SAMET TEKIN</v>
      </c>
      <c r="Y411" s="19" t="str">
        <f>IFERROR(VLOOKUP(W411,'Personel Bilgi'!A:C,3,0),"---")</f>
        <v>SAFAK TOPTAS</v>
      </c>
      <c r="Z411" s="22" t="s">
        <v>94</v>
      </c>
      <c r="AA411" s="22" t="s">
        <v>616</v>
      </c>
      <c r="AB411" s="22" t="s">
        <v>49</v>
      </c>
      <c r="AC411" s="21" t="s">
        <v>41</v>
      </c>
      <c r="AD411" s="21" t="s">
        <v>42</v>
      </c>
    </row>
    <row r="412" spans="1:30" x14ac:dyDescent="0.25">
      <c r="A412" s="19" t="s">
        <v>11</v>
      </c>
      <c r="B412" s="21" t="s">
        <v>1124</v>
      </c>
      <c r="C412" s="21">
        <v>5545495915</v>
      </c>
      <c r="D412" s="21" t="s">
        <v>14</v>
      </c>
      <c r="E412" s="19" t="str">
        <f>IFERROR(VLOOKUP(D412,Tanımlar!C:D,2,0),"- - -")</f>
        <v>DAĞITIM</v>
      </c>
      <c r="F412" s="21">
        <v>600657</v>
      </c>
      <c r="G412" s="21" t="str">
        <f>IFERROR(VLOOKUP(F412,'Personel Bilgi'!A:B,2,0),"- - - ")</f>
        <v>SEHER ERCAN</v>
      </c>
      <c r="H412" s="21" t="str">
        <f>IFERROR(VLOOKUP(F412,'Personel Bilgi'!A:D,3,0),"- - -")</f>
        <v>FERHAT DEMIR</v>
      </c>
      <c r="I412" s="21" t="str">
        <f>IFERROR(VLOOKUP(F412,'Personel Bilgi'!A:D,4,0),"- - -")</f>
        <v>ANKARA</v>
      </c>
      <c r="J412" s="21" t="str">
        <f>IFERROR(VLOOKUP(F412,'Personel Bilgi'!A:E,5,0),"- - -")</f>
        <v>MÜŞTERİ TEMSİLCİSİ</v>
      </c>
      <c r="K412" s="22" t="s">
        <v>49</v>
      </c>
      <c r="L412" s="21" t="s">
        <v>97</v>
      </c>
      <c r="M412" s="21" t="s">
        <v>734</v>
      </c>
      <c r="N412" s="36">
        <v>46022</v>
      </c>
      <c r="O412" s="36">
        <v>46022</v>
      </c>
      <c r="P412" s="21" t="s">
        <v>81</v>
      </c>
      <c r="Q412" s="37" t="s">
        <v>735</v>
      </c>
      <c r="R412" s="21" t="s">
        <v>790</v>
      </c>
      <c r="S412" s="21" t="s">
        <v>92</v>
      </c>
      <c r="T412" s="21" t="s">
        <v>95</v>
      </c>
      <c r="U412" s="21">
        <v>100</v>
      </c>
      <c r="V412" s="21" t="s">
        <v>736</v>
      </c>
      <c r="W412" s="21">
        <v>600657</v>
      </c>
      <c r="X412" s="19" t="str">
        <f>IFERROR(VLOOKUP(W412,'Personel Bilgi'!A:B,2,0),"---")</f>
        <v>SEHER ERCAN</v>
      </c>
      <c r="Y412" s="19" t="str">
        <f>IFERROR(VLOOKUP(W412,'Personel Bilgi'!A:C,3,0),"---")</f>
        <v>FERHAT DEMIR</v>
      </c>
      <c r="Z412" s="22" t="s">
        <v>95</v>
      </c>
      <c r="AA412" s="22" t="s">
        <v>617</v>
      </c>
      <c r="AB412" s="22" t="s">
        <v>49</v>
      </c>
      <c r="AC412" s="21" t="s">
        <v>97</v>
      </c>
      <c r="AD412" s="21" t="s">
        <v>734</v>
      </c>
    </row>
    <row r="413" spans="1:30" x14ac:dyDescent="0.25">
      <c r="A413" s="19" t="s">
        <v>11</v>
      </c>
      <c r="B413" s="21" t="s">
        <v>1125</v>
      </c>
      <c r="C413" s="21">
        <v>5530023256</v>
      </c>
      <c r="D413" s="21" t="s">
        <v>16</v>
      </c>
      <c r="E413" s="19" t="str">
        <f>IFERROR(VLOOKUP(D413,Tanımlar!C:D,2,0),"- - -")</f>
        <v>DAĞITIM</v>
      </c>
      <c r="F413" s="21">
        <v>111167</v>
      </c>
      <c r="G413" s="21" t="str">
        <f>IFERROR(VLOOKUP(F413,'Personel Bilgi'!A:B,2,0),"- - - ")</f>
        <v>TURCAN TANRIVERDILER</v>
      </c>
      <c r="H413" s="21" t="str">
        <f>IFERROR(VLOOKUP(F413,'Personel Bilgi'!A:D,3,0),"- - -")</f>
        <v>YAREN OZAYAG</v>
      </c>
      <c r="I413" s="21" t="str">
        <f>IFERROR(VLOOKUP(F413,'Personel Bilgi'!A:D,4,0),"- - -")</f>
        <v>KARS</v>
      </c>
      <c r="J413" s="21" t="str">
        <f>IFERROR(VLOOKUP(F413,'Personel Bilgi'!A:E,5,0),"- - -")</f>
        <v>MÜŞTERİ TEMSİLCİSİ</v>
      </c>
      <c r="K413" s="21" t="s">
        <v>50</v>
      </c>
      <c r="L413" s="22" t="s">
        <v>47</v>
      </c>
      <c r="M413" s="21" t="s">
        <v>603</v>
      </c>
      <c r="N413" s="36">
        <v>46021</v>
      </c>
      <c r="O413" s="36">
        <v>46022</v>
      </c>
      <c r="P413" s="21" t="s">
        <v>80</v>
      </c>
      <c r="Q413" s="37" t="s">
        <v>735</v>
      </c>
      <c r="R413" s="21" t="s">
        <v>790</v>
      </c>
      <c r="S413" s="21" t="s">
        <v>92</v>
      </c>
      <c r="T413" s="21" t="s">
        <v>95</v>
      </c>
      <c r="U413" s="21">
        <v>100</v>
      </c>
      <c r="V413" s="21" t="s">
        <v>736</v>
      </c>
      <c r="W413" s="21">
        <v>111167</v>
      </c>
      <c r="X413" s="19" t="str">
        <f>IFERROR(VLOOKUP(W413,'Personel Bilgi'!A:B,2,0),"---")</f>
        <v>TURCAN TANRIVERDILER</v>
      </c>
      <c r="Y413" s="19" t="str">
        <f>IFERROR(VLOOKUP(W413,'Personel Bilgi'!A:C,3,0),"---")</f>
        <v>YAREN OZAYAG</v>
      </c>
      <c r="Z413" s="22" t="s">
        <v>95</v>
      </c>
      <c r="AA413" s="22" t="s">
        <v>617</v>
      </c>
      <c r="AB413" s="21" t="s">
        <v>50</v>
      </c>
      <c r="AC413" s="22" t="s">
        <v>47</v>
      </c>
      <c r="AD413" s="21" t="s">
        <v>603</v>
      </c>
    </row>
    <row r="414" spans="1:30" x14ac:dyDescent="0.25">
      <c r="A414" s="19" t="s">
        <v>11</v>
      </c>
      <c r="B414" s="21" t="s">
        <v>1126</v>
      </c>
      <c r="C414" s="21">
        <v>5327065013</v>
      </c>
      <c r="D414" s="21" t="s">
        <v>12</v>
      </c>
      <c r="E414" s="19" t="str">
        <f>IFERROR(VLOOKUP(D414,Tanımlar!C:D,2,0),"- - -")</f>
        <v>DAĞITIM</v>
      </c>
      <c r="F414" s="47">
        <v>600455</v>
      </c>
      <c r="G414" s="21" t="str">
        <f>IFERROR(VLOOKUP(F414,'Personel Bilgi'!A:B,2,0),"- - - ")</f>
        <v>VUSLAT UNAL</v>
      </c>
      <c r="H414" s="21" t="str">
        <f>IFERROR(VLOOKUP(F414,'Personel Bilgi'!A:D,3,0),"- - -")</f>
        <v>GORKEM SERT</v>
      </c>
      <c r="I414" s="21" t="str">
        <f>IFERROR(VLOOKUP(F414,'Personel Bilgi'!A:D,4,0),"- - -")</f>
        <v>ANKARA</v>
      </c>
      <c r="J414" s="21" t="str">
        <f>IFERROR(VLOOKUP(F414,'Personel Bilgi'!A:E,5,0),"- - -")</f>
        <v>UZMAN MÜŞTERİ TEMSİLCİSİ</v>
      </c>
      <c r="K414" s="21" t="s">
        <v>50</v>
      </c>
      <c r="L414" s="21" t="s">
        <v>41</v>
      </c>
      <c r="M414" s="21" t="s">
        <v>44</v>
      </c>
      <c r="N414" s="36">
        <v>46022</v>
      </c>
      <c r="O414" s="36">
        <v>46022</v>
      </c>
      <c r="P414" s="19" t="s">
        <v>79</v>
      </c>
      <c r="Q414" s="37" t="s">
        <v>735</v>
      </c>
      <c r="R414" s="21" t="s">
        <v>790</v>
      </c>
      <c r="S414" s="21" t="s">
        <v>92</v>
      </c>
      <c r="T414" s="21" t="s">
        <v>94</v>
      </c>
      <c r="U414" s="21">
        <v>0</v>
      </c>
      <c r="V414" s="21" t="s">
        <v>736</v>
      </c>
      <c r="W414" s="21">
        <v>500088</v>
      </c>
      <c r="X414" s="19" t="str">
        <f>IFERROR(VLOOKUP(W414,'Personel Bilgi'!A:B,2,0),"---")</f>
        <v>ALEYNA UGRAS</v>
      </c>
      <c r="Y414" s="19" t="str">
        <f>IFERROR(VLOOKUP(W414,'Personel Bilgi'!A:C,3,0),"---")</f>
        <v>METEHAN EMRE SIRMALI</v>
      </c>
      <c r="Z414" s="22" t="s">
        <v>95</v>
      </c>
      <c r="AA414" s="22" t="s">
        <v>617</v>
      </c>
      <c r="AB414" s="21" t="s">
        <v>50</v>
      </c>
      <c r="AC414" s="21" t="s">
        <v>41</v>
      </c>
      <c r="AD414" s="21" t="s">
        <v>44</v>
      </c>
    </row>
    <row r="415" spans="1:30" x14ac:dyDescent="0.25">
      <c r="A415" s="19" t="s">
        <v>11</v>
      </c>
      <c r="B415" s="21" t="s">
        <v>1127</v>
      </c>
      <c r="C415" s="21">
        <v>5529496920</v>
      </c>
      <c r="D415" s="21" t="s">
        <v>13</v>
      </c>
      <c r="E415" s="19" t="str">
        <f>IFERROR(VLOOKUP(D415,Tanımlar!C:D,2,0),"- - -")</f>
        <v>PERAKENDE</v>
      </c>
      <c r="F415" s="21" t="s">
        <v>735</v>
      </c>
      <c r="G415" s="21" t="str">
        <f>IFERROR(VLOOKUP(F415,'Personel Bilgi'!A:B,2,0),"- - - ")</f>
        <v xml:space="preserve">- - - </v>
      </c>
      <c r="H415" s="21" t="str">
        <f>IFERROR(VLOOKUP(F415,'Personel Bilgi'!A:D,3,0),"- - -")</f>
        <v>- - -</v>
      </c>
      <c r="I415" s="21" t="str">
        <f>IFERROR(VLOOKUP(F415,'Personel Bilgi'!A:D,4,0),"- - -")</f>
        <v>- - -</v>
      </c>
      <c r="J415" s="21" t="str">
        <f>IFERROR(VLOOKUP(F415,'Personel Bilgi'!A:E,5,0),"- - -")</f>
        <v>- - -</v>
      </c>
      <c r="K415" s="21"/>
      <c r="L415" s="21"/>
      <c r="M415" s="21" t="s">
        <v>864</v>
      </c>
      <c r="N415" s="36">
        <v>46022</v>
      </c>
      <c r="O415" s="36">
        <v>46022</v>
      </c>
      <c r="P415" s="21" t="s">
        <v>81</v>
      </c>
      <c r="Q415" s="37" t="s">
        <v>735</v>
      </c>
      <c r="R415" s="21" t="s">
        <v>790</v>
      </c>
      <c r="S415" s="21" t="s">
        <v>93</v>
      </c>
      <c r="T415" s="21" t="s">
        <v>95</v>
      </c>
      <c r="U415" s="21" t="s">
        <v>735</v>
      </c>
      <c r="V415" s="21" t="s">
        <v>736</v>
      </c>
      <c r="W415" s="21">
        <v>110994</v>
      </c>
      <c r="X415" s="19" t="str">
        <f>IFERROR(VLOOKUP(W415,'Personel Bilgi'!A:B,2,0),"---")</f>
        <v>AYSUN PARALTI</v>
      </c>
      <c r="Y415" s="19" t="str">
        <f>IFERROR(VLOOKUP(W415,'Personel Bilgi'!A:C,3,0),"---")</f>
        <v>MUSTAFA OZAYAG</v>
      </c>
      <c r="Z415" s="22" t="s">
        <v>95</v>
      </c>
      <c r="AA415" s="22" t="s">
        <v>617</v>
      </c>
      <c r="AB415" s="21" t="s">
        <v>66</v>
      </c>
      <c r="AC415" s="21" t="s">
        <v>864</v>
      </c>
      <c r="AD415" s="21" t="s">
        <v>864</v>
      </c>
    </row>
    <row r="416" spans="1:30" x14ac:dyDescent="0.25">
      <c r="A416" s="19" t="s">
        <v>11</v>
      </c>
      <c r="B416" s="21" t="s">
        <v>1128</v>
      </c>
      <c r="C416" s="21">
        <v>5536105455</v>
      </c>
      <c r="D416" s="21" t="s">
        <v>13</v>
      </c>
      <c r="E416" s="19" t="str">
        <f>IFERROR(VLOOKUP(D416,Tanımlar!C:D,2,0),"- - -")</f>
        <v>PERAKENDE</v>
      </c>
      <c r="F416" s="21">
        <v>110917</v>
      </c>
      <c r="G416" s="21" t="str">
        <f>IFERROR(VLOOKUP(F416,'Personel Bilgi'!A:B,2,0),"- - - ")</f>
        <v xml:space="preserve">BERAT ACAY </v>
      </c>
      <c r="H416" s="21" t="str">
        <f>IFERROR(VLOOKUP(F416,'Personel Bilgi'!A:D,3,0),"- - -")</f>
        <v>YAPRAK KARAKOC</v>
      </c>
      <c r="I416" s="21" t="str">
        <f>IFERROR(VLOOKUP(F416,'Personel Bilgi'!A:D,4,0),"- - -")</f>
        <v>KARS</v>
      </c>
      <c r="J416" s="21" t="str">
        <f>IFERROR(VLOOKUP(F416,'Personel Bilgi'!A:E,5,0),"- - -")</f>
        <v>MÜŞTERİ TEMSİLCİSİ</v>
      </c>
      <c r="K416" s="21" t="s">
        <v>65</v>
      </c>
      <c r="L416" s="22" t="s">
        <v>47</v>
      </c>
      <c r="M416" s="21" t="s">
        <v>603</v>
      </c>
      <c r="N416" s="36">
        <v>46017</v>
      </c>
      <c r="O416" s="36">
        <v>46022</v>
      </c>
      <c r="P416" s="21" t="s">
        <v>80</v>
      </c>
      <c r="Q416" s="37" t="s">
        <v>735</v>
      </c>
      <c r="R416" s="21" t="s">
        <v>790</v>
      </c>
      <c r="S416" s="21" t="s">
        <v>92</v>
      </c>
      <c r="T416" s="21" t="s">
        <v>95</v>
      </c>
      <c r="U416" s="21">
        <v>100</v>
      </c>
      <c r="V416" s="21" t="s">
        <v>736</v>
      </c>
      <c r="W416" s="21">
        <v>210152</v>
      </c>
      <c r="X416" s="19" t="str">
        <f>IFERROR(VLOOKUP(W416,'Personel Bilgi'!A:B,2,0),"---")</f>
        <v>EBRU EKINCI</v>
      </c>
      <c r="Y416" s="19" t="str">
        <f>IFERROR(VLOOKUP(W416,'Personel Bilgi'!A:C,3,0),"---")</f>
        <v>SEDA SEBU</v>
      </c>
      <c r="Z416" s="22" t="s">
        <v>95</v>
      </c>
      <c r="AA416" s="22" t="s">
        <v>617</v>
      </c>
      <c r="AB416" s="21" t="s">
        <v>65</v>
      </c>
      <c r="AC416" s="22" t="s">
        <v>47</v>
      </c>
      <c r="AD416" s="21" t="s">
        <v>603</v>
      </c>
    </row>
    <row r="417" spans="1:30" x14ac:dyDescent="0.25">
      <c r="A417" s="19" t="s">
        <v>11</v>
      </c>
      <c r="B417" s="21" t="s">
        <v>1129</v>
      </c>
      <c r="C417" s="21">
        <v>5467204451</v>
      </c>
      <c r="D417" s="21" t="s">
        <v>13</v>
      </c>
      <c r="E417" s="19" t="str">
        <f>IFERROR(VLOOKUP(D417,Tanımlar!C:D,2,0),"- - -")</f>
        <v>PERAKENDE</v>
      </c>
      <c r="F417" s="21">
        <v>600768</v>
      </c>
      <c r="G417" s="21" t="str">
        <f>IFERROR(VLOOKUP(F417,'Personel Bilgi'!A:B,2,0),"- - - ")</f>
        <v>EMINE SARIKAYA</v>
      </c>
      <c r="H417" s="21" t="str">
        <f>IFERROR(VLOOKUP(F417,'Personel Bilgi'!A:D,3,0),"- - -")</f>
        <v>ISIK BUGRA OZDEMIR</v>
      </c>
      <c r="I417" s="21" t="str">
        <f>IFERROR(VLOOKUP(F417,'Personel Bilgi'!A:D,4,0),"- - -")</f>
        <v>ANKARA</v>
      </c>
      <c r="J417" s="21" t="str">
        <f>IFERROR(VLOOKUP(F417,'Personel Bilgi'!A:E,5,0),"- - -")</f>
        <v>MÜŞTERİ TEMSİLCİSİ</v>
      </c>
      <c r="K417" s="21" t="s">
        <v>73</v>
      </c>
      <c r="L417" s="21" t="s">
        <v>96</v>
      </c>
      <c r="M417" s="21" t="s">
        <v>30</v>
      </c>
      <c r="N417" s="36">
        <v>45909</v>
      </c>
      <c r="O417" s="36">
        <v>46022</v>
      </c>
      <c r="P417" s="21" t="s">
        <v>1145</v>
      </c>
      <c r="Q417" s="37" t="s">
        <v>724</v>
      </c>
      <c r="R417" s="21" t="s">
        <v>790</v>
      </c>
      <c r="S417" s="21" t="s">
        <v>93</v>
      </c>
      <c r="T417" s="21" t="s">
        <v>95</v>
      </c>
      <c r="U417" s="21" t="s">
        <v>735</v>
      </c>
      <c r="V417" s="21" t="s">
        <v>736</v>
      </c>
      <c r="W417" s="21">
        <v>600462</v>
      </c>
      <c r="X417" s="19" t="str">
        <f>IFERROR(VLOOKUP(W417,'Personel Bilgi'!A:B,2,0),"---")</f>
        <v>DAMLA GUNEY</v>
      </c>
      <c r="Y417" s="19" t="str">
        <f>IFERROR(VLOOKUP(W417,'Personel Bilgi'!A:C,3,0),"---")</f>
        <v xml:space="preserve">İNAN UMUT ÖRNEK </v>
      </c>
      <c r="Z417" s="22" t="s">
        <v>95</v>
      </c>
      <c r="AA417" s="22" t="s">
        <v>617</v>
      </c>
      <c r="AB417" s="21" t="s">
        <v>73</v>
      </c>
      <c r="AC417" s="21" t="s">
        <v>96</v>
      </c>
      <c r="AD417" s="21" t="s">
        <v>30</v>
      </c>
    </row>
    <row r="418" spans="1:30" x14ac:dyDescent="0.25">
      <c r="A418" s="19" t="s">
        <v>11</v>
      </c>
      <c r="B418" s="21" t="s">
        <v>1130</v>
      </c>
      <c r="C418" s="21">
        <v>5451785660</v>
      </c>
      <c r="D418" s="21" t="s">
        <v>14</v>
      </c>
      <c r="E418" s="19" t="str">
        <f>IFERROR(VLOOKUP(D418,Tanımlar!C:D,2,0),"- - -")</f>
        <v>DAĞITIM</v>
      </c>
      <c r="F418" s="21">
        <v>110430</v>
      </c>
      <c r="G418" s="21" t="str">
        <f>IFERROR(VLOOKUP(F418,'Personel Bilgi'!A:B,2,0),"- - - ")</f>
        <v>SELCAN BULUT</v>
      </c>
      <c r="H418" s="21" t="str">
        <f>IFERROR(VLOOKUP(F418,'Personel Bilgi'!A:D,3,0),"- - -")</f>
        <v>YAPRAK KARAKOC</v>
      </c>
      <c r="I418" s="21" t="str">
        <f>IFERROR(VLOOKUP(F418,'Personel Bilgi'!A:D,4,0),"- - -")</f>
        <v>KARS</v>
      </c>
      <c r="J418" s="21" t="str">
        <f>IFERROR(VLOOKUP(F418,'Personel Bilgi'!A:E,5,0),"- - -")</f>
        <v>MÜŞTERİ TEMSİLCİSİ</v>
      </c>
      <c r="K418" s="21" t="s">
        <v>54</v>
      </c>
      <c r="L418" s="21" t="s">
        <v>96</v>
      </c>
      <c r="M418" s="21" t="s">
        <v>36</v>
      </c>
      <c r="N418" s="36">
        <v>46022</v>
      </c>
      <c r="O418" s="36">
        <v>46022</v>
      </c>
      <c r="P418" s="21" t="s">
        <v>81</v>
      </c>
      <c r="Q418" s="37" t="s">
        <v>735</v>
      </c>
      <c r="R418" s="21" t="s">
        <v>790</v>
      </c>
      <c r="S418" s="21" t="s">
        <v>92</v>
      </c>
      <c r="T418" s="21" t="s">
        <v>95</v>
      </c>
      <c r="U418" s="21">
        <v>85</v>
      </c>
      <c r="V418" s="21" t="s">
        <v>736</v>
      </c>
      <c r="W418" s="21">
        <v>500083</v>
      </c>
      <c r="X418" s="19" t="str">
        <f>IFERROR(VLOOKUP(W418,'Personel Bilgi'!A:B,2,0),"---")</f>
        <v>SEDANUR ARSLAN</v>
      </c>
      <c r="Y418" s="19" t="str">
        <f>IFERROR(VLOOKUP(W418,'Personel Bilgi'!A:C,3,0),"---")</f>
        <v>SALTUK BUGRAHAN TAYMUS</v>
      </c>
      <c r="Z418" s="22" t="s">
        <v>94</v>
      </c>
      <c r="AA418" s="22" t="s">
        <v>616</v>
      </c>
      <c r="AB418" s="21" t="s">
        <v>54</v>
      </c>
      <c r="AC418" s="21" t="s">
        <v>96</v>
      </c>
      <c r="AD418" s="21" t="s">
        <v>36</v>
      </c>
    </row>
    <row r="419" spans="1:30" x14ac:dyDescent="0.25">
      <c r="A419" s="19" t="s">
        <v>11</v>
      </c>
      <c r="B419" s="21" t="s">
        <v>1131</v>
      </c>
      <c r="C419" s="21">
        <v>5446572371</v>
      </c>
      <c r="D419" s="21" t="s">
        <v>16</v>
      </c>
      <c r="E419" s="19" t="str">
        <f>IFERROR(VLOOKUP(D419,Tanımlar!C:D,2,0),"- - -")</f>
        <v>DAĞITIM</v>
      </c>
      <c r="F419" s="47">
        <v>111163</v>
      </c>
      <c r="G419" s="21" t="str">
        <f>IFERROR(VLOOKUP(F419,'Personel Bilgi'!A:B,2,0),"- - - ")</f>
        <v>KEZBAN DEMIR</v>
      </c>
      <c r="H419" s="21" t="str">
        <f>IFERROR(VLOOKUP(F419,'Personel Bilgi'!A:D,3,0),"- - -")</f>
        <v>YAREN OZAYAG</v>
      </c>
      <c r="I419" s="21" t="str">
        <f>IFERROR(VLOOKUP(F419,'Personel Bilgi'!A:D,4,0),"- - -")</f>
        <v>KARS</v>
      </c>
      <c r="J419" s="21" t="str">
        <f>IFERROR(VLOOKUP(F419,'Personel Bilgi'!A:E,5,0),"- - -")</f>
        <v>MÜŞTERİ TEMSİLCİSİ</v>
      </c>
      <c r="K419" s="21" t="s">
        <v>59</v>
      </c>
      <c r="L419" s="21" t="s">
        <v>96</v>
      </c>
      <c r="M419" s="21" t="s">
        <v>38</v>
      </c>
      <c r="N419" s="36">
        <v>46019</v>
      </c>
      <c r="O419" s="36">
        <v>46022</v>
      </c>
      <c r="P419" s="21" t="s">
        <v>1145</v>
      </c>
      <c r="Q419" s="37" t="s">
        <v>735</v>
      </c>
      <c r="R419" s="21" t="s">
        <v>790</v>
      </c>
      <c r="S419" s="21" t="s">
        <v>92</v>
      </c>
      <c r="T419" s="21" t="s">
        <v>95</v>
      </c>
      <c r="U419" s="21">
        <v>80</v>
      </c>
      <c r="V419" s="21" t="s">
        <v>736</v>
      </c>
      <c r="W419" s="21">
        <v>500136</v>
      </c>
      <c r="X419" s="19" t="str">
        <f>IFERROR(VLOOKUP(W419,'Personel Bilgi'!A:B,2,0),"---")</f>
        <v>SEYMANUR GORMEZ</v>
      </c>
      <c r="Y419" s="19" t="str">
        <f>IFERROR(VLOOKUP(W419,'Personel Bilgi'!A:C,3,0),"---")</f>
        <v>SAMET KOCABEYOGLU</v>
      </c>
      <c r="Z419" s="22" t="s">
        <v>95</v>
      </c>
      <c r="AA419" s="22" t="s">
        <v>617</v>
      </c>
      <c r="AB419" s="21" t="s">
        <v>59</v>
      </c>
      <c r="AC419" s="21" t="s">
        <v>96</v>
      </c>
      <c r="AD419" s="21" t="s">
        <v>38</v>
      </c>
    </row>
    <row r="420" spans="1:30" x14ac:dyDescent="0.2">
      <c r="A420" s="19" t="s">
        <v>10</v>
      </c>
      <c r="B420" s="21">
        <v>5335503537</v>
      </c>
      <c r="C420" s="21">
        <v>5335503537</v>
      </c>
      <c r="D420" s="21" t="s">
        <v>14</v>
      </c>
      <c r="E420" s="19" t="str">
        <f>IFERROR(VLOOKUP(D420,Tanımlar!C:D,2,0),"- - -")</f>
        <v>DAĞITIM</v>
      </c>
      <c r="F420" s="47">
        <v>500100</v>
      </c>
      <c r="G420" s="21" t="str">
        <f>IFERROR(VLOOKUP(F420,'Personel Bilgi'!A:B,2,0),"- - - ")</f>
        <v>HATICE TASCI</v>
      </c>
      <c r="H420" s="21" t="str">
        <f>IFERROR(VLOOKUP(F420,'Personel Bilgi'!A:D,3,0),"- - -")</f>
        <v>METEHAN EMRE SIRMALI</v>
      </c>
      <c r="I420" s="21" t="str">
        <f>IFERROR(VLOOKUP(F420,'Personel Bilgi'!A:D,4,0),"- - -")</f>
        <v>ERZURUM</v>
      </c>
      <c r="J420" s="21" t="str">
        <f>IFERROR(VLOOKUP(F420,'Personel Bilgi'!A:E,5,0),"- - -")</f>
        <v>MÜŞTERİ TEMSİLCİSİ</v>
      </c>
      <c r="K420" s="21" t="s">
        <v>54</v>
      </c>
      <c r="L420" s="21" t="s">
        <v>97</v>
      </c>
      <c r="M420" s="21" t="s">
        <v>21</v>
      </c>
      <c r="N420" s="36">
        <v>46011</v>
      </c>
      <c r="O420" s="36">
        <v>46024</v>
      </c>
      <c r="P420" s="21" t="s">
        <v>1145</v>
      </c>
      <c r="Q420" s="37" t="s">
        <v>735</v>
      </c>
      <c r="R420" s="19" t="s">
        <v>86</v>
      </c>
      <c r="S420" s="21" t="s">
        <v>92</v>
      </c>
      <c r="T420" s="21" t="s">
        <v>94</v>
      </c>
      <c r="U420" s="21">
        <v>0</v>
      </c>
      <c r="V420" s="21" t="s">
        <v>736</v>
      </c>
      <c r="W420" s="50">
        <v>666666</v>
      </c>
      <c r="X420" s="19" t="str">
        <f>IFERROR(VLOOKUP(W420,'Personel Bilgi'!A:B,2,0),"---")</f>
        <v>İÇ BİRİM</v>
      </c>
      <c r="Y420" s="19" t="str">
        <f>IFERROR(VLOOKUP(W420,'Personel Bilgi'!A:C,3,0),"---")</f>
        <v>İÇ BİRİM</v>
      </c>
      <c r="Z420" s="19" t="str">
        <f>IFERROR(VLOOKUP(X420,'Personel Bilgi'!B:D,3,0),"---")</f>
        <v>İÇ BİRİM</v>
      </c>
      <c r="AA420" s="19" t="str">
        <f>IFERROR(VLOOKUP(Y420,'Personel Bilgi'!C:E,3,0),"---")</f>
        <v>İÇ BİRİM</v>
      </c>
      <c r="AB420" s="21" t="s">
        <v>54</v>
      </c>
      <c r="AC420" s="21" t="s">
        <v>97</v>
      </c>
      <c r="AD420" s="21" t="s">
        <v>21</v>
      </c>
    </row>
    <row r="421" spans="1:30" x14ac:dyDescent="0.2">
      <c r="A421" s="19" t="s">
        <v>10</v>
      </c>
      <c r="B421" s="21">
        <v>5065831332</v>
      </c>
      <c r="C421" s="21">
        <v>5065831332</v>
      </c>
      <c r="D421" s="21" t="s">
        <v>14</v>
      </c>
      <c r="E421" s="19" t="str">
        <f>IFERROR(VLOOKUP(D421,Tanımlar!C:D,2,0),"- - -")</f>
        <v>DAĞITIM</v>
      </c>
      <c r="F421" s="47">
        <v>500167</v>
      </c>
      <c r="G421" s="21" t="str">
        <f>IFERROR(VLOOKUP(F421,'Personel Bilgi'!A:B,2,0),"- - - ")</f>
        <v>NEVA OZMEN</v>
      </c>
      <c r="H421" s="21" t="str">
        <f>IFERROR(VLOOKUP(F421,'Personel Bilgi'!A:D,3,0),"- - -")</f>
        <v>KURSAD TERCANLI</v>
      </c>
      <c r="I421" s="21" t="str">
        <f>IFERROR(VLOOKUP(F421,'Personel Bilgi'!A:D,4,0),"- - -")</f>
        <v>ERZURUM</v>
      </c>
      <c r="J421" s="21" t="str">
        <f>IFERROR(VLOOKUP(F421,'Personel Bilgi'!A:E,5,0),"- - -")</f>
        <v>MÜŞTERİ TEMSİLCİSİ</v>
      </c>
      <c r="K421" s="21" t="s">
        <v>54</v>
      </c>
      <c r="L421" s="21" t="s">
        <v>97</v>
      </c>
      <c r="M421" s="21" t="s">
        <v>21</v>
      </c>
      <c r="N421" s="36">
        <v>46006</v>
      </c>
      <c r="O421" s="36">
        <v>46024</v>
      </c>
      <c r="P421" s="21" t="s">
        <v>1145</v>
      </c>
      <c r="Q421" s="37" t="s">
        <v>735</v>
      </c>
      <c r="R421" s="19" t="s">
        <v>86</v>
      </c>
      <c r="S421" s="21" t="s">
        <v>92</v>
      </c>
      <c r="T421" s="21" t="s">
        <v>94</v>
      </c>
      <c r="U421" s="21">
        <v>0</v>
      </c>
      <c r="V421" s="21" t="s">
        <v>736</v>
      </c>
      <c r="W421" s="50">
        <v>666666</v>
      </c>
      <c r="X421" s="19" t="str">
        <f>IFERROR(VLOOKUP(W421,'Personel Bilgi'!A:B,2,0),"---")</f>
        <v>İÇ BİRİM</v>
      </c>
      <c r="Y421" s="19" t="str">
        <f>IFERROR(VLOOKUP(W421,'Personel Bilgi'!A:C,3,0),"---")</f>
        <v>İÇ BİRİM</v>
      </c>
      <c r="Z421" s="19" t="str">
        <f>IFERROR(VLOOKUP(X421,'Personel Bilgi'!B:D,3,0),"---")</f>
        <v>İÇ BİRİM</v>
      </c>
      <c r="AA421" s="19" t="str">
        <f>IFERROR(VLOOKUP(Y421,'Personel Bilgi'!C:E,3,0),"---")</f>
        <v>İÇ BİRİM</v>
      </c>
      <c r="AB421" s="21" t="s">
        <v>54</v>
      </c>
      <c r="AC421" s="21" t="s">
        <v>97</v>
      </c>
      <c r="AD421" s="21" t="s">
        <v>21</v>
      </c>
    </row>
    <row r="422" spans="1:30" x14ac:dyDescent="0.2">
      <c r="A422" s="19" t="s">
        <v>10</v>
      </c>
      <c r="B422" s="21">
        <v>5323323859</v>
      </c>
      <c r="C422" s="21">
        <v>5323323859</v>
      </c>
      <c r="D422" s="21" t="s">
        <v>14</v>
      </c>
      <c r="E422" s="19" t="str">
        <f>IFERROR(VLOOKUP(D422,Tanımlar!C:D,2,0),"- - -")</f>
        <v>DAĞITIM</v>
      </c>
      <c r="F422" s="47">
        <v>500167</v>
      </c>
      <c r="G422" s="21" t="str">
        <f>IFERROR(VLOOKUP(F422,'Personel Bilgi'!A:B,2,0),"- - - ")</f>
        <v>NEVA OZMEN</v>
      </c>
      <c r="H422" s="21" t="str">
        <f>IFERROR(VLOOKUP(F422,'Personel Bilgi'!A:D,3,0),"- - -")</f>
        <v>KURSAD TERCANLI</v>
      </c>
      <c r="I422" s="21" t="str">
        <f>IFERROR(VLOOKUP(F422,'Personel Bilgi'!A:D,4,0),"- - -")</f>
        <v>ERZURUM</v>
      </c>
      <c r="J422" s="21" t="str">
        <f>IFERROR(VLOOKUP(F422,'Personel Bilgi'!A:E,5,0),"- - -")</f>
        <v>MÜŞTERİ TEMSİLCİSİ</v>
      </c>
      <c r="K422" s="21" t="s">
        <v>54</v>
      </c>
      <c r="L422" s="21" t="s">
        <v>97</v>
      </c>
      <c r="M422" s="21" t="s">
        <v>21</v>
      </c>
      <c r="N422" s="36">
        <v>45995</v>
      </c>
      <c r="O422" s="36">
        <v>46024</v>
      </c>
      <c r="P422" s="21" t="s">
        <v>1145</v>
      </c>
      <c r="Q422" s="37" t="s">
        <v>735</v>
      </c>
      <c r="R422" s="19" t="s">
        <v>86</v>
      </c>
      <c r="S422" s="21" t="s">
        <v>92</v>
      </c>
      <c r="T422" s="21" t="s">
        <v>94</v>
      </c>
      <c r="U422" s="21">
        <v>0</v>
      </c>
      <c r="V422" s="21" t="s">
        <v>736</v>
      </c>
      <c r="W422" s="50">
        <v>666666</v>
      </c>
      <c r="X422" s="19" t="str">
        <f>IFERROR(VLOOKUP(W422,'Personel Bilgi'!A:B,2,0),"---")</f>
        <v>İÇ BİRİM</v>
      </c>
      <c r="Y422" s="19" t="str">
        <f>IFERROR(VLOOKUP(W422,'Personel Bilgi'!A:C,3,0),"---")</f>
        <v>İÇ BİRİM</v>
      </c>
      <c r="Z422" s="19" t="str">
        <f>IFERROR(VLOOKUP(X422,'Personel Bilgi'!B:D,3,0),"---")</f>
        <v>İÇ BİRİM</v>
      </c>
      <c r="AA422" s="19" t="str">
        <f>IFERROR(VLOOKUP(Y422,'Personel Bilgi'!C:E,3,0),"---")</f>
        <v>İÇ BİRİM</v>
      </c>
      <c r="AB422" s="21" t="s">
        <v>54</v>
      </c>
      <c r="AC422" s="21" t="s">
        <v>97</v>
      </c>
      <c r="AD422" s="21" t="s">
        <v>21</v>
      </c>
    </row>
    <row r="423" spans="1:30" x14ac:dyDescent="0.2">
      <c r="A423" s="19" t="s">
        <v>10</v>
      </c>
      <c r="B423" s="21">
        <v>5528751540</v>
      </c>
      <c r="C423" s="21">
        <v>5528751540</v>
      </c>
      <c r="D423" s="21" t="s">
        <v>14</v>
      </c>
      <c r="E423" s="19" t="str">
        <f>IFERROR(VLOOKUP(D423,Tanımlar!C:D,2,0),"- - -")</f>
        <v>DAĞITIM</v>
      </c>
      <c r="F423" s="47">
        <v>500143</v>
      </c>
      <c r="G423" s="21" t="str">
        <f>IFERROR(VLOOKUP(F423,'Personel Bilgi'!A:B,2,0),"- - - ")</f>
        <v>AYDANUR TANAS</v>
      </c>
      <c r="H423" s="21" t="str">
        <f>IFERROR(VLOOKUP(F423,'Personel Bilgi'!A:D,3,0),"- - -")</f>
        <v>KURSAD TERCANLI</v>
      </c>
      <c r="I423" s="21" t="str">
        <f>IFERROR(VLOOKUP(F423,'Personel Bilgi'!A:D,4,0),"- - -")</f>
        <v>ERZURUM</v>
      </c>
      <c r="J423" s="21" t="str">
        <f>IFERROR(VLOOKUP(F423,'Personel Bilgi'!A:E,5,0),"- - -")</f>
        <v>MÜŞTERİ TEMSİLCİSİ</v>
      </c>
      <c r="K423" s="21" t="s">
        <v>54</v>
      </c>
      <c r="L423" s="21" t="s">
        <v>97</v>
      </c>
      <c r="M423" s="21" t="s">
        <v>21</v>
      </c>
      <c r="N423" s="36">
        <v>46002</v>
      </c>
      <c r="O423" s="36">
        <v>46024</v>
      </c>
      <c r="P423" s="21" t="s">
        <v>1145</v>
      </c>
      <c r="Q423" s="37" t="s">
        <v>735</v>
      </c>
      <c r="R423" s="19" t="s">
        <v>86</v>
      </c>
      <c r="S423" s="21" t="s">
        <v>92</v>
      </c>
      <c r="T423" s="21" t="s">
        <v>94</v>
      </c>
      <c r="U423" s="21">
        <v>0</v>
      </c>
      <c r="V423" s="21" t="s">
        <v>736</v>
      </c>
      <c r="W423" s="50">
        <v>666666</v>
      </c>
      <c r="X423" s="19" t="str">
        <f>IFERROR(VLOOKUP(W423,'Personel Bilgi'!A:B,2,0),"---")</f>
        <v>İÇ BİRİM</v>
      </c>
      <c r="Y423" s="19" t="str">
        <f>IFERROR(VLOOKUP(W423,'Personel Bilgi'!A:C,3,0),"---")</f>
        <v>İÇ BİRİM</v>
      </c>
      <c r="Z423" s="19" t="str">
        <f>IFERROR(VLOOKUP(X423,'Personel Bilgi'!B:D,3,0),"---")</f>
        <v>İÇ BİRİM</v>
      </c>
      <c r="AA423" s="19" t="str">
        <f>IFERROR(VLOOKUP(Y423,'Personel Bilgi'!C:E,3,0),"---")</f>
        <v>İÇ BİRİM</v>
      </c>
      <c r="AB423" s="21" t="s">
        <v>54</v>
      </c>
      <c r="AC423" s="21" t="s">
        <v>97</v>
      </c>
      <c r="AD423" s="21" t="s">
        <v>21</v>
      </c>
    </row>
    <row r="424" spans="1:30" x14ac:dyDescent="0.2">
      <c r="A424" s="19" t="s">
        <v>10</v>
      </c>
      <c r="B424" s="21">
        <v>5313131971</v>
      </c>
      <c r="C424" s="21">
        <v>5313131971</v>
      </c>
      <c r="D424" s="21" t="s">
        <v>14</v>
      </c>
      <c r="E424" s="19" t="str">
        <f>IFERROR(VLOOKUP(D424,Tanımlar!C:D,2,0),"- - -")</f>
        <v>DAĞITIM</v>
      </c>
      <c r="F424" s="47">
        <v>500090</v>
      </c>
      <c r="G424" s="21" t="str">
        <f>IFERROR(VLOOKUP(F424,'Personel Bilgi'!A:B,2,0),"- - - ")</f>
        <v>CILEM ADIBELLI</v>
      </c>
      <c r="H424" s="21" t="str">
        <f>IFERROR(VLOOKUP(F424,'Personel Bilgi'!A:D,3,0),"- - -")</f>
        <v>METEHAN EMRE SIRMALI</v>
      </c>
      <c r="I424" s="21" t="str">
        <f>IFERROR(VLOOKUP(F424,'Personel Bilgi'!A:D,4,0),"- - -")</f>
        <v>ERZURUM</v>
      </c>
      <c r="J424" s="21" t="str">
        <f>IFERROR(VLOOKUP(F424,'Personel Bilgi'!A:E,5,0),"- - -")</f>
        <v>MÜŞTERİ TEMSİLCİSİ</v>
      </c>
      <c r="K424" s="21" t="s">
        <v>65</v>
      </c>
      <c r="L424" s="21" t="s">
        <v>97</v>
      </c>
      <c r="M424" s="21" t="s">
        <v>21</v>
      </c>
      <c r="N424" s="36">
        <v>46007</v>
      </c>
      <c r="O424" s="36">
        <v>46024</v>
      </c>
      <c r="P424" s="21" t="s">
        <v>1145</v>
      </c>
      <c r="Q424" s="37" t="s">
        <v>735</v>
      </c>
      <c r="R424" s="19" t="s">
        <v>86</v>
      </c>
      <c r="S424" s="21" t="s">
        <v>92</v>
      </c>
      <c r="T424" s="21" t="s">
        <v>94</v>
      </c>
      <c r="U424" s="21">
        <v>0</v>
      </c>
      <c r="V424" s="21" t="s">
        <v>736</v>
      </c>
      <c r="W424" s="50">
        <v>666666</v>
      </c>
      <c r="X424" s="19" t="str">
        <f>IFERROR(VLOOKUP(W424,'Personel Bilgi'!A:B,2,0),"---")</f>
        <v>İÇ BİRİM</v>
      </c>
      <c r="Y424" s="19" t="str">
        <f>IFERROR(VLOOKUP(W424,'Personel Bilgi'!A:C,3,0),"---")</f>
        <v>İÇ BİRİM</v>
      </c>
      <c r="Z424" s="19" t="str">
        <f>IFERROR(VLOOKUP(X424,'Personel Bilgi'!B:D,3,0),"---")</f>
        <v>İÇ BİRİM</v>
      </c>
      <c r="AA424" s="19" t="str">
        <f>IFERROR(VLOOKUP(Y424,'Personel Bilgi'!C:E,3,0),"---")</f>
        <v>İÇ BİRİM</v>
      </c>
      <c r="AB424" s="21" t="s">
        <v>65</v>
      </c>
      <c r="AC424" s="21" t="s">
        <v>97</v>
      </c>
      <c r="AD424" s="21" t="s">
        <v>21</v>
      </c>
    </row>
    <row r="425" spans="1:30" x14ac:dyDescent="0.2">
      <c r="A425" s="19" t="s">
        <v>10</v>
      </c>
      <c r="B425" s="21">
        <v>5303273701</v>
      </c>
      <c r="C425" s="21">
        <v>5303273701</v>
      </c>
      <c r="D425" s="21" t="s">
        <v>14</v>
      </c>
      <c r="E425" s="19" t="str">
        <f>IFERROR(VLOOKUP(D425,Tanımlar!C:D,2,0),"- - -")</f>
        <v>DAĞITIM</v>
      </c>
      <c r="F425" s="47">
        <v>500102</v>
      </c>
      <c r="G425" s="21" t="str">
        <f>IFERROR(VLOOKUP(F425,'Personel Bilgi'!A:B,2,0),"- - - ")</f>
        <v>ILAYDA CAYIRLI</v>
      </c>
      <c r="H425" s="21" t="str">
        <f>IFERROR(VLOOKUP(F425,'Personel Bilgi'!A:D,3,0),"- - -")</f>
        <v>METEHAN EMRE SIRMALI</v>
      </c>
      <c r="I425" s="21" t="str">
        <f>IFERROR(VLOOKUP(F425,'Personel Bilgi'!A:D,4,0),"- - -")</f>
        <v>ERZURUM</v>
      </c>
      <c r="J425" s="21" t="str">
        <f>IFERROR(VLOOKUP(F425,'Personel Bilgi'!A:E,5,0),"- - -")</f>
        <v>MÜŞTERİ TEMSİLCİSİ</v>
      </c>
      <c r="K425" s="21" t="s">
        <v>54</v>
      </c>
      <c r="L425" s="21" t="s">
        <v>97</v>
      </c>
      <c r="M425" s="21" t="s">
        <v>21</v>
      </c>
      <c r="N425" s="36">
        <v>46000</v>
      </c>
      <c r="O425" s="36">
        <v>46024</v>
      </c>
      <c r="P425" s="21" t="s">
        <v>1145</v>
      </c>
      <c r="Q425" s="37" t="s">
        <v>735</v>
      </c>
      <c r="R425" s="19" t="s">
        <v>86</v>
      </c>
      <c r="S425" s="21" t="s">
        <v>92</v>
      </c>
      <c r="T425" s="21" t="s">
        <v>94</v>
      </c>
      <c r="U425" s="21">
        <v>0</v>
      </c>
      <c r="V425" s="21" t="s">
        <v>736</v>
      </c>
      <c r="W425" s="50">
        <v>666666</v>
      </c>
      <c r="X425" s="19" t="str">
        <f>IFERROR(VLOOKUP(W425,'Personel Bilgi'!A:B,2,0),"---")</f>
        <v>İÇ BİRİM</v>
      </c>
      <c r="Y425" s="19" t="str">
        <f>IFERROR(VLOOKUP(W425,'Personel Bilgi'!A:C,3,0),"---")</f>
        <v>İÇ BİRİM</v>
      </c>
      <c r="Z425" s="19" t="str">
        <f>IFERROR(VLOOKUP(X425,'Personel Bilgi'!B:D,3,0),"---")</f>
        <v>İÇ BİRİM</v>
      </c>
      <c r="AA425" s="19" t="str">
        <f>IFERROR(VLOOKUP(Y425,'Personel Bilgi'!C:E,3,0),"---")</f>
        <v>İÇ BİRİM</v>
      </c>
      <c r="AB425" s="21" t="s">
        <v>54</v>
      </c>
      <c r="AC425" s="21" t="s">
        <v>97</v>
      </c>
      <c r="AD425" s="21" t="s">
        <v>21</v>
      </c>
    </row>
    <row r="426" spans="1:30" x14ac:dyDescent="0.2">
      <c r="A426" s="19" t="s">
        <v>11</v>
      </c>
      <c r="B426" s="21" t="s">
        <v>1132</v>
      </c>
      <c r="C426" s="21">
        <v>5550302711</v>
      </c>
      <c r="D426" s="21" t="s">
        <v>13</v>
      </c>
      <c r="E426" s="19" t="str">
        <f>IFERROR(VLOOKUP(D426,Tanımlar!C:D,2,0),"- - -")</f>
        <v>PERAKENDE</v>
      </c>
      <c r="F426" s="47">
        <v>600892</v>
      </c>
      <c r="G426" s="21" t="str">
        <f>IFERROR(VLOOKUP(F426,'Personel Bilgi'!A:B,2,0),"- - - ")</f>
        <v>AHMET CIHAN ERDEM</v>
      </c>
      <c r="H426" s="21" t="str">
        <f>IFERROR(VLOOKUP(F426,'Personel Bilgi'!A:D,3,0),"- - -")</f>
        <v>DILAN OZDEN</v>
      </c>
      <c r="I426" s="21" t="str">
        <f>IFERROR(VLOOKUP(F426,'Personel Bilgi'!A:D,4,0),"- - -")</f>
        <v>ANKARA</v>
      </c>
      <c r="J426" s="21" t="str">
        <f>IFERROR(VLOOKUP(F426,'Personel Bilgi'!A:E,5,0),"- - -")</f>
        <v>MÜŞTERİ TEMSİLCİSİ</v>
      </c>
      <c r="K426" s="21" t="s">
        <v>73</v>
      </c>
      <c r="L426" s="21" t="s">
        <v>96</v>
      </c>
      <c r="M426" s="21" t="s">
        <v>30</v>
      </c>
      <c r="N426" s="36">
        <v>46021</v>
      </c>
      <c r="O426" s="36">
        <v>46024</v>
      </c>
      <c r="P426" s="21" t="s">
        <v>81</v>
      </c>
      <c r="Q426" s="21" t="s">
        <v>725</v>
      </c>
      <c r="R426" s="19" t="s">
        <v>86</v>
      </c>
      <c r="S426" s="21" t="s">
        <v>93</v>
      </c>
      <c r="T426" s="21" t="s">
        <v>95</v>
      </c>
      <c r="U426" s="21" t="s">
        <v>735</v>
      </c>
      <c r="V426" s="21" t="s">
        <v>736</v>
      </c>
      <c r="W426" s="50">
        <v>110803</v>
      </c>
      <c r="X426" s="19" t="str">
        <f>IFERROR(VLOOKUP(W426,'Personel Bilgi'!A:B,2,0),"---")</f>
        <v>YASEMIN DALBOY</v>
      </c>
      <c r="Y426" s="19" t="str">
        <f>IFERROR(VLOOKUP(W426,'Personel Bilgi'!A:C,3,0),"---")</f>
        <v>DILAN ORNEK</v>
      </c>
      <c r="Z426" s="22" t="s">
        <v>94</v>
      </c>
      <c r="AA426" s="22" t="s">
        <v>616</v>
      </c>
      <c r="AB426" s="21" t="s">
        <v>73</v>
      </c>
      <c r="AC426" s="21" t="s">
        <v>96</v>
      </c>
      <c r="AD426" s="21" t="s">
        <v>30</v>
      </c>
    </row>
    <row r="427" spans="1:30" x14ac:dyDescent="0.25">
      <c r="A427" s="19" t="s">
        <v>11</v>
      </c>
      <c r="B427" s="21" t="s">
        <v>1135</v>
      </c>
      <c r="C427" s="21">
        <v>5520997657</v>
      </c>
      <c r="D427" s="21" t="s">
        <v>14</v>
      </c>
      <c r="E427" s="19" t="str">
        <f>IFERROR(VLOOKUP(D427,Tanımlar!C:D,2,0),"- - -")</f>
        <v>DAĞITIM</v>
      </c>
      <c r="F427" s="21">
        <v>600626</v>
      </c>
      <c r="G427" s="21" t="str">
        <f>IFERROR(VLOOKUP(F427,'Personel Bilgi'!A:B,2,0),"- - - ")</f>
        <v>AHMET ERDEM</v>
      </c>
      <c r="H427" s="21" t="str">
        <f>IFERROR(VLOOKUP(F427,'Personel Bilgi'!A:D,3,0),"- - -")</f>
        <v>FERHAT DEMIR</v>
      </c>
      <c r="I427" s="21" t="str">
        <f>IFERROR(VLOOKUP(F427,'Personel Bilgi'!A:D,4,0),"- - -")</f>
        <v>ANKARA</v>
      </c>
      <c r="J427" s="21" t="str">
        <f>IFERROR(VLOOKUP(F427,'Personel Bilgi'!A:E,5,0),"- - -")</f>
        <v>MÜŞTERİ TEMSİLCİSİ</v>
      </c>
      <c r="K427" s="22" t="s">
        <v>49</v>
      </c>
      <c r="L427" s="21" t="s">
        <v>97</v>
      </c>
      <c r="M427" s="21" t="s">
        <v>734</v>
      </c>
      <c r="N427" s="36">
        <v>46021</v>
      </c>
      <c r="O427" s="36">
        <v>45659</v>
      </c>
      <c r="P427" s="21" t="s">
        <v>81</v>
      </c>
      <c r="Q427" s="37" t="s">
        <v>735</v>
      </c>
      <c r="R427" s="21" t="s">
        <v>790</v>
      </c>
      <c r="S427" s="21" t="s">
        <v>92</v>
      </c>
      <c r="T427" s="21" t="s">
        <v>95</v>
      </c>
      <c r="U427" s="21">
        <v>80</v>
      </c>
      <c r="V427" s="21" t="s">
        <v>736</v>
      </c>
      <c r="W427" s="21">
        <v>600734</v>
      </c>
      <c r="X427" s="19" t="str">
        <f>IFERROR(VLOOKUP(W427,'Personel Bilgi'!A:B,2,0),"---")</f>
        <v>IREM YILDIRIM</v>
      </c>
      <c r="Y427" s="19" t="str">
        <f>IFERROR(VLOOKUP(W427,'Personel Bilgi'!A:C,3,0),"---")</f>
        <v>GORKEM SERT</v>
      </c>
      <c r="Z427" s="22" t="s">
        <v>95</v>
      </c>
      <c r="AA427" s="22" t="s">
        <v>617</v>
      </c>
      <c r="AB427" s="22" t="s">
        <v>49</v>
      </c>
      <c r="AC427" s="21" t="s">
        <v>97</v>
      </c>
      <c r="AD427" s="21" t="s">
        <v>734</v>
      </c>
    </row>
    <row r="428" spans="1:30" x14ac:dyDescent="0.25">
      <c r="A428" s="19" t="s">
        <v>11</v>
      </c>
      <c r="B428" s="21" t="s">
        <v>1136</v>
      </c>
      <c r="C428" s="21">
        <v>5076800007</v>
      </c>
      <c r="D428" s="21" t="s">
        <v>14</v>
      </c>
      <c r="E428" s="19" t="str">
        <f>IFERROR(VLOOKUP(D428,Tanımlar!C:D,2,0),"- - -")</f>
        <v>DAĞITIM</v>
      </c>
      <c r="F428" s="21">
        <v>500145</v>
      </c>
      <c r="G428" s="21" t="str">
        <f>IFERROR(VLOOKUP(F428,'Personel Bilgi'!A:B,2,0),"- - - ")</f>
        <v>BELMA ONAL</v>
      </c>
      <c r="H428" s="21" t="str">
        <f>IFERROR(VLOOKUP(F428,'Personel Bilgi'!A:D,3,0),"- - -")</f>
        <v>KURSAD TERCANLI</v>
      </c>
      <c r="I428" s="21" t="str">
        <f>IFERROR(VLOOKUP(F428,'Personel Bilgi'!A:D,4,0),"- - -")</f>
        <v>ERZURUM</v>
      </c>
      <c r="J428" s="21" t="str">
        <f>IFERROR(VLOOKUP(F428,'Personel Bilgi'!A:E,5,0),"- - -")</f>
        <v>MÜŞTERİ TEMSİLCİSİ</v>
      </c>
      <c r="K428" s="21" t="s">
        <v>59</v>
      </c>
      <c r="L428" s="21" t="s">
        <v>97</v>
      </c>
      <c r="M428" s="21" t="s">
        <v>21</v>
      </c>
      <c r="N428" s="36">
        <v>46022</v>
      </c>
      <c r="O428" s="36">
        <v>45659</v>
      </c>
      <c r="P428" s="21" t="s">
        <v>1145</v>
      </c>
      <c r="Q428" s="37" t="s">
        <v>735</v>
      </c>
      <c r="R428" s="21" t="s">
        <v>790</v>
      </c>
      <c r="S428" s="21" t="s">
        <v>92</v>
      </c>
      <c r="T428" s="21" t="s">
        <v>94</v>
      </c>
      <c r="U428" s="21">
        <v>0</v>
      </c>
      <c r="V428" s="21" t="s">
        <v>736</v>
      </c>
      <c r="W428" s="21">
        <v>500159</v>
      </c>
      <c r="X428" s="19" t="str">
        <f>IFERROR(VLOOKUP(W428,'Personel Bilgi'!A:B,2,0),"---")</f>
        <v>MELIKE SEZGIN</v>
      </c>
      <c r="Y428" s="19" t="str">
        <f>IFERROR(VLOOKUP(W428,'Personel Bilgi'!A:C,3,0),"---")</f>
        <v>KURSAD TERCANLI</v>
      </c>
      <c r="Z428" s="22" t="s">
        <v>94</v>
      </c>
      <c r="AA428" s="22" t="s">
        <v>616</v>
      </c>
      <c r="AB428" s="21" t="s">
        <v>59</v>
      </c>
      <c r="AC428" s="21" t="s">
        <v>97</v>
      </c>
      <c r="AD428" s="21" t="s">
        <v>21</v>
      </c>
    </row>
    <row r="429" spans="1:30" x14ac:dyDescent="0.25">
      <c r="A429" s="19" t="s">
        <v>11</v>
      </c>
      <c r="B429" s="21" t="s">
        <v>1137</v>
      </c>
      <c r="C429" s="21">
        <v>5313538486</v>
      </c>
      <c r="D429" s="21" t="s">
        <v>14</v>
      </c>
      <c r="E429" s="19" t="str">
        <f>IFERROR(VLOOKUP(D429,Tanımlar!C:D,2,0),"- - -")</f>
        <v>DAĞITIM</v>
      </c>
      <c r="F429" s="21">
        <v>500171</v>
      </c>
      <c r="G429" s="21" t="str">
        <f>IFERROR(VLOOKUP(F429,'Personel Bilgi'!A:B,2,0),"- - - ")</f>
        <v>BURCU OZER</v>
      </c>
      <c r="H429" s="21" t="str">
        <f>IFERROR(VLOOKUP(F429,'Personel Bilgi'!A:D,3,0),"- - -")</f>
        <v>MEHMET ALI SAVAN</v>
      </c>
      <c r="I429" s="21" t="str">
        <f>IFERROR(VLOOKUP(F429,'Personel Bilgi'!A:D,4,0),"- - -")</f>
        <v>ERZURUM</v>
      </c>
      <c r="J429" s="21" t="str">
        <f>IFERROR(VLOOKUP(F429,'Personel Bilgi'!A:E,5,0),"- - -")</f>
        <v>MÜŞTERİ TEMSİLCİSİ</v>
      </c>
      <c r="K429" s="22" t="s">
        <v>49</v>
      </c>
      <c r="L429" s="21" t="s">
        <v>97</v>
      </c>
      <c r="M429" s="21" t="s">
        <v>734</v>
      </c>
      <c r="N429" s="36">
        <v>46022</v>
      </c>
      <c r="O429" s="36">
        <v>45659</v>
      </c>
      <c r="P429" s="21" t="s">
        <v>1145</v>
      </c>
      <c r="Q429" s="37" t="s">
        <v>735</v>
      </c>
      <c r="R429" s="21" t="s">
        <v>790</v>
      </c>
      <c r="S429" s="21" t="s">
        <v>92</v>
      </c>
      <c r="T429" s="21" t="s">
        <v>94</v>
      </c>
      <c r="U429" s="21">
        <v>0</v>
      </c>
      <c r="V429" s="21" t="s">
        <v>736</v>
      </c>
      <c r="W429" s="21">
        <v>111252</v>
      </c>
      <c r="X429" s="19" t="str">
        <f>IFERROR(VLOOKUP(W429,'Personel Bilgi'!A:B,2,0),"---")</f>
        <v>BARAN KOYUNCU</v>
      </c>
      <c r="Y429" s="19" t="str">
        <f>IFERROR(VLOOKUP(W429,'Personel Bilgi'!A:C,3,0),"---")</f>
        <v>YAREN OZAYAG</v>
      </c>
      <c r="Z429" s="22" t="s">
        <v>95</v>
      </c>
      <c r="AA429" s="22" t="s">
        <v>617</v>
      </c>
      <c r="AB429" s="22" t="s">
        <v>49</v>
      </c>
      <c r="AC429" s="21" t="s">
        <v>97</v>
      </c>
      <c r="AD429" s="21" t="s">
        <v>734</v>
      </c>
    </row>
    <row r="430" spans="1:30" x14ac:dyDescent="0.25">
      <c r="A430" s="19" t="s">
        <v>11</v>
      </c>
      <c r="B430" s="21" t="s">
        <v>1138</v>
      </c>
      <c r="C430" s="21">
        <v>5327602795</v>
      </c>
      <c r="D430" s="21" t="s">
        <v>14</v>
      </c>
      <c r="E430" s="19" t="str">
        <f>IFERROR(VLOOKUP(D430,Tanımlar!C:D,2,0),"- - -")</f>
        <v>DAĞITIM</v>
      </c>
      <c r="F430" s="21">
        <v>500170</v>
      </c>
      <c r="G430" s="21" t="str">
        <f>IFERROR(VLOOKUP(F430,'Personel Bilgi'!A:B,2,0),"- - - ")</f>
        <v>BURAK KAYA</v>
      </c>
      <c r="H430" s="21" t="str">
        <f>IFERROR(VLOOKUP(F430,'Personel Bilgi'!A:D,3,0),"- - -")</f>
        <v>ERDOGAN DURUK</v>
      </c>
      <c r="I430" s="21" t="str">
        <f>IFERROR(VLOOKUP(F430,'Personel Bilgi'!A:D,4,0),"- - -")</f>
        <v>ERZURUM</v>
      </c>
      <c r="J430" s="21" t="str">
        <f>IFERROR(VLOOKUP(F430,'Personel Bilgi'!A:E,5,0),"- - -")</f>
        <v>MÜŞTERİ TEMSİLCİSİ</v>
      </c>
      <c r="K430" s="22" t="s">
        <v>49</v>
      </c>
      <c r="L430" s="21" t="s">
        <v>41</v>
      </c>
      <c r="M430" s="21" t="s">
        <v>42</v>
      </c>
      <c r="N430" s="36">
        <v>46022</v>
      </c>
      <c r="O430" s="36">
        <v>45659</v>
      </c>
      <c r="P430" s="19" t="s">
        <v>79</v>
      </c>
      <c r="Q430" s="37" t="s">
        <v>735</v>
      </c>
      <c r="R430" s="21" t="s">
        <v>790</v>
      </c>
      <c r="S430" s="21" t="s">
        <v>92</v>
      </c>
      <c r="T430" s="21" t="s">
        <v>94</v>
      </c>
      <c r="U430" s="21">
        <v>0</v>
      </c>
      <c r="V430" s="21" t="s">
        <v>736</v>
      </c>
      <c r="W430" s="21">
        <v>500130</v>
      </c>
      <c r="X430" s="19" t="str">
        <f>IFERROR(VLOOKUP(W430,'Personel Bilgi'!A:B,2,0),"---")</f>
        <v>SEVIL IREM DURUK</v>
      </c>
      <c r="Y430" s="19" t="str">
        <f>IFERROR(VLOOKUP(W430,'Personel Bilgi'!A:C,3,0),"---")</f>
        <v>SAMET KOCABEYOGLU</v>
      </c>
      <c r="Z430" s="22" t="s">
        <v>95</v>
      </c>
      <c r="AA430" s="22" t="s">
        <v>617</v>
      </c>
      <c r="AB430" s="22" t="s">
        <v>49</v>
      </c>
      <c r="AC430" s="21" t="s">
        <v>41</v>
      </c>
      <c r="AD430" s="21" t="s">
        <v>42</v>
      </c>
    </row>
    <row r="431" spans="1:30" x14ac:dyDescent="0.25">
      <c r="A431" s="19" t="s">
        <v>11</v>
      </c>
      <c r="B431" s="21" t="s">
        <v>1139</v>
      </c>
      <c r="C431" s="21">
        <v>5323549401</v>
      </c>
      <c r="D431" s="21" t="s">
        <v>13</v>
      </c>
      <c r="E431" s="19" t="str">
        <f>IFERROR(VLOOKUP(D431,Tanımlar!C:D,2,0),"- - -")</f>
        <v>PERAKENDE</v>
      </c>
      <c r="F431" s="21">
        <v>600718</v>
      </c>
      <c r="G431" s="21" t="str">
        <f>IFERROR(VLOOKUP(F431,'Personel Bilgi'!A:B,2,0),"- - - ")</f>
        <v>AYSU GUN</v>
      </c>
      <c r="H431" s="21" t="str">
        <f>IFERROR(VLOOKUP(F431,'Personel Bilgi'!A:D,3,0),"- - -")</f>
        <v xml:space="preserve">İNAN UMUT ÖRNEK </v>
      </c>
      <c r="I431" s="21" t="str">
        <f>IFERROR(VLOOKUP(F431,'Personel Bilgi'!A:D,4,0),"- - -")</f>
        <v>ANKARA</v>
      </c>
      <c r="J431" s="21" t="str">
        <f>IFERROR(VLOOKUP(F431,'Personel Bilgi'!A:E,5,0),"- - -")</f>
        <v>MÜŞTERİ TEMSİLCİSİ</v>
      </c>
      <c r="K431" s="22" t="s">
        <v>72</v>
      </c>
      <c r="L431" s="21" t="s">
        <v>97</v>
      </c>
      <c r="M431" s="21" t="s">
        <v>734</v>
      </c>
      <c r="N431" s="36">
        <v>46020</v>
      </c>
      <c r="O431" s="36">
        <v>45659</v>
      </c>
      <c r="P431" s="21" t="s">
        <v>1145</v>
      </c>
      <c r="Q431" s="37" t="s">
        <v>735</v>
      </c>
      <c r="R431" s="21" t="s">
        <v>790</v>
      </c>
      <c r="S431" s="21" t="s">
        <v>92</v>
      </c>
      <c r="T431" s="21" t="s">
        <v>94</v>
      </c>
      <c r="U431" s="21">
        <v>0</v>
      </c>
      <c r="V431" s="21" t="s">
        <v>736</v>
      </c>
      <c r="W431" s="21">
        <v>210401</v>
      </c>
      <c r="X431" s="19" t="str">
        <f>IFERROR(VLOOKUP(W431,'Personel Bilgi'!A:B,2,0),"---")</f>
        <v>BERKAN GONEY</v>
      </c>
      <c r="Y431" s="19" t="str">
        <f>IFERROR(VLOOKUP(W431,'Personel Bilgi'!A:C,3,0),"---")</f>
        <v>SEDA SEBU</v>
      </c>
      <c r="Z431" s="22" t="s">
        <v>95</v>
      </c>
      <c r="AA431" s="22" t="s">
        <v>617</v>
      </c>
      <c r="AB431" s="22" t="s">
        <v>72</v>
      </c>
      <c r="AC431" s="21" t="s">
        <v>97</v>
      </c>
      <c r="AD431" s="21" t="s">
        <v>734</v>
      </c>
    </row>
    <row r="432" spans="1:30" x14ac:dyDescent="0.25">
      <c r="A432" s="19" t="s">
        <v>11</v>
      </c>
      <c r="B432" s="21" t="s">
        <v>1139</v>
      </c>
      <c r="C432" s="21">
        <v>5323549401</v>
      </c>
      <c r="D432" s="21" t="s">
        <v>13</v>
      </c>
      <c r="E432" s="19" t="str">
        <f>IFERROR(VLOOKUP(D432,Tanımlar!C:D,2,0),"- - -")</f>
        <v>PERAKENDE</v>
      </c>
      <c r="F432" s="21">
        <v>600618</v>
      </c>
      <c r="G432" s="21" t="str">
        <f>IFERROR(VLOOKUP(F432,'Personel Bilgi'!A:B,2,0),"- - - ")</f>
        <v>ENES ALI SATIR</v>
      </c>
      <c r="H432" s="21" t="str">
        <f>IFERROR(VLOOKUP(F432,'Personel Bilgi'!A:D,3,0),"- - -")</f>
        <v>FERHAT DEMIR</v>
      </c>
      <c r="I432" s="21" t="str">
        <f>IFERROR(VLOOKUP(F432,'Personel Bilgi'!A:D,4,0),"- - -")</f>
        <v>ANKARA</v>
      </c>
      <c r="J432" s="21" t="str">
        <f>IFERROR(VLOOKUP(F432,'Personel Bilgi'!A:E,5,0),"- - -")</f>
        <v>MÜŞTERİ TEMSİLCİSİ</v>
      </c>
      <c r="K432" s="22" t="s">
        <v>72</v>
      </c>
      <c r="L432" s="21" t="s">
        <v>97</v>
      </c>
      <c r="M432" s="21" t="s">
        <v>734</v>
      </c>
      <c r="N432" s="36">
        <v>46020</v>
      </c>
      <c r="O432" s="36">
        <v>45659</v>
      </c>
      <c r="P432" s="19" t="s">
        <v>79</v>
      </c>
      <c r="Q432" s="37" t="s">
        <v>735</v>
      </c>
      <c r="R432" s="21" t="s">
        <v>790</v>
      </c>
      <c r="S432" s="21" t="s">
        <v>92</v>
      </c>
      <c r="T432" s="21" t="s">
        <v>94</v>
      </c>
      <c r="U432" s="21">
        <v>0</v>
      </c>
      <c r="V432" s="21" t="s">
        <v>736</v>
      </c>
      <c r="W432" s="21">
        <v>210401</v>
      </c>
      <c r="X432" s="19" t="str">
        <f>IFERROR(VLOOKUP(W432,'Personel Bilgi'!A:B,2,0),"---")</f>
        <v>BERKAN GONEY</v>
      </c>
      <c r="Y432" s="19" t="str">
        <f>IFERROR(VLOOKUP(W432,'Personel Bilgi'!A:C,3,0),"---")</f>
        <v>SEDA SEBU</v>
      </c>
      <c r="Z432" s="22" t="s">
        <v>95</v>
      </c>
      <c r="AA432" s="22" t="s">
        <v>617</v>
      </c>
      <c r="AB432" s="22" t="s">
        <v>72</v>
      </c>
      <c r="AC432" s="21" t="s">
        <v>97</v>
      </c>
      <c r="AD432" s="21" t="s">
        <v>734</v>
      </c>
    </row>
    <row r="433" spans="1:30" x14ac:dyDescent="0.25">
      <c r="A433" s="19" t="s">
        <v>11</v>
      </c>
      <c r="B433" s="21" t="s">
        <v>1140</v>
      </c>
      <c r="C433" s="21">
        <v>5522908757</v>
      </c>
      <c r="D433" s="21" t="s">
        <v>15</v>
      </c>
      <c r="E433" s="19" t="str">
        <f>IFERROR(VLOOKUP(D433,Tanımlar!C:D,2,0),"- - -")</f>
        <v>PERAKENDE</v>
      </c>
      <c r="F433" s="21">
        <v>110486</v>
      </c>
      <c r="G433" s="21" t="str">
        <f>IFERROR(VLOOKUP(F433,'Personel Bilgi'!A:B,2,0),"- - - ")</f>
        <v>BUKET CANSU BEKTEMUR</v>
      </c>
      <c r="H433" s="21" t="str">
        <f>IFERROR(VLOOKUP(F433,'Personel Bilgi'!A:D,3,0),"- - -")</f>
        <v>SAFAK TOPTAS</v>
      </c>
      <c r="I433" s="21" t="str">
        <f>IFERROR(VLOOKUP(F433,'Personel Bilgi'!A:D,4,0),"- - -")</f>
        <v>KARS</v>
      </c>
      <c r="J433" s="21" t="str">
        <f>IFERROR(VLOOKUP(F433,'Personel Bilgi'!A:E,5,0),"- - -")</f>
        <v>MÜŞTERİ TEMSİLCİSİ</v>
      </c>
      <c r="K433" s="21" t="s">
        <v>65</v>
      </c>
      <c r="L433" s="21" t="s">
        <v>97</v>
      </c>
      <c r="M433" s="21" t="s">
        <v>734</v>
      </c>
      <c r="N433" s="36">
        <v>46022</v>
      </c>
      <c r="O433" s="36">
        <v>45659</v>
      </c>
      <c r="P433" s="19" t="s">
        <v>79</v>
      </c>
      <c r="Q433" s="37" t="s">
        <v>735</v>
      </c>
      <c r="R433" s="21" t="s">
        <v>790</v>
      </c>
      <c r="S433" s="21" t="s">
        <v>92</v>
      </c>
      <c r="T433" s="21" t="s">
        <v>94</v>
      </c>
      <c r="U433" s="21">
        <v>0</v>
      </c>
      <c r="V433" s="21" t="s">
        <v>736</v>
      </c>
      <c r="W433" s="21">
        <v>600718</v>
      </c>
      <c r="X433" s="19" t="str">
        <f>IFERROR(VLOOKUP(W433,'Personel Bilgi'!A:B,2,0),"---")</f>
        <v>AYSU GUN</v>
      </c>
      <c r="Y433" s="19" t="str">
        <f>IFERROR(VLOOKUP(W433,'Personel Bilgi'!A:C,3,0),"---")</f>
        <v xml:space="preserve">İNAN UMUT ÖRNEK </v>
      </c>
      <c r="Z433" s="22" t="s">
        <v>94</v>
      </c>
      <c r="AA433" s="22" t="s">
        <v>616</v>
      </c>
      <c r="AB433" s="21" t="s">
        <v>65</v>
      </c>
      <c r="AC433" s="21" t="s">
        <v>97</v>
      </c>
      <c r="AD433" s="21" t="s">
        <v>734</v>
      </c>
    </row>
    <row r="434" spans="1:30" x14ac:dyDescent="0.25">
      <c r="A434" s="19" t="s">
        <v>11</v>
      </c>
      <c r="B434" s="21" t="s">
        <v>1141</v>
      </c>
      <c r="C434" s="21">
        <v>5312094846</v>
      </c>
      <c r="D434" s="21" t="s">
        <v>15</v>
      </c>
      <c r="E434" s="19" t="str">
        <f>IFERROR(VLOOKUP(D434,Tanımlar!C:D,2,0),"- - -")</f>
        <v>PERAKENDE</v>
      </c>
      <c r="F434" s="21">
        <v>600642</v>
      </c>
      <c r="G434" s="21" t="str">
        <f>IFERROR(VLOOKUP(F434,'Personel Bilgi'!A:B,2,0),"- - - ")</f>
        <v>BUSENUR TAPAN</v>
      </c>
      <c r="H434" s="21" t="str">
        <f>IFERROR(VLOOKUP(F434,'Personel Bilgi'!A:D,3,0),"- - -")</f>
        <v>FERHAT DEMIR</v>
      </c>
      <c r="I434" s="21" t="str">
        <f>IFERROR(VLOOKUP(F434,'Personel Bilgi'!A:D,4,0),"- - -")</f>
        <v>ANKARA</v>
      </c>
      <c r="J434" s="21" t="s">
        <v>695</v>
      </c>
      <c r="K434" s="22" t="s">
        <v>66</v>
      </c>
      <c r="L434" s="21" t="s">
        <v>41</v>
      </c>
      <c r="M434" s="21" t="s">
        <v>44</v>
      </c>
      <c r="N434" s="36">
        <v>46003</v>
      </c>
      <c r="O434" s="36">
        <v>46007</v>
      </c>
      <c r="P434" s="19" t="s">
        <v>79</v>
      </c>
      <c r="Q434" s="37" t="s">
        <v>735</v>
      </c>
      <c r="R434" s="19" t="s">
        <v>86</v>
      </c>
      <c r="S434" s="21" t="s">
        <v>92</v>
      </c>
      <c r="T434" s="21" t="s">
        <v>94</v>
      </c>
      <c r="U434" s="21">
        <v>0</v>
      </c>
      <c r="V434" s="21" t="s">
        <v>736</v>
      </c>
      <c r="W434" s="19">
        <v>600642</v>
      </c>
      <c r="X434" s="19" t="str">
        <f>IFERROR(VLOOKUP(W434,'Personel Bilgi'!A:B,2,0),"---")</f>
        <v>BUSENUR TAPAN</v>
      </c>
      <c r="Y434" s="19" t="str">
        <f>IFERROR(VLOOKUP(W434,'Personel Bilgi'!A:C,3,0),"---")</f>
        <v>FERHAT DEMIR</v>
      </c>
      <c r="Z434" s="22" t="s">
        <v>94</v>
      </c>
      <c r="AA434" s="22" t="s">
        <v>616</v>
      </c>
      <c r="AB434" s="22" t="s">
        <v>66</v>
      </c>
      <c r="AC434" s="21" t="s">
        <v>41</v>
      </c>
      <c r="AD434" s="21" t="s">
        <v>44</v>
      </c>
    </row>
    <row r="435" spans="1:30" x14ac:dyDescent="0.25">
      <c r="A435" s="19" t="s">
        <v>11</v>
      </c>
      <c r="B435" s="21" t="s">
        <v>1142</v>
      </c>
      <c r="C435" s="21">
        <v>5379563424</v>
      </c>
      <c r="D435" s="21" t="s">
        <v>14</v>
      </c>
      <c r="E435" s="19" t="str">
        <f>IFERROR(VLOOKUP(D435,Tanımlar!C:D,2,0),"- - -")</f>
        <v>DAĞITIM</v>
      </c>
      <c r="F435" s="21">
        <v>500154</v>
      </c>
      <c r="G435" s="21" t="str">
        <f>IFERROR(VLOOKUP(F435,'Personel Bilgi'!A:B,2,0),"- - - ")</f>
        <v>FATMA BEYZA AKKAN</v>
      </c>
      <c r="H435" s="21" t="str">
        <f>IFERROR(VLOOKUP(F435,'Personel Bilgi'!A:D,3,0),"- - -")</f>
        <v>SAMET KOCABEYOGLU</v>
      </c>
      <c r="I435" s="21" t="str">
        <f>IFERROR(VLOOKUP(F435,'Personel Bilgi'!A:D,4,0),"- - -")</f>
        <v>ERZURUM</v>
      </c>
      <c r="J435" s="21" t="str">
        <f>IFERROR(VLOOKUP(F435,'Personel Bilgi'!A:E,5,0),"- - -")</f>
        <v>MÜŞTERİ TEMSİLCİSİ</v>
      </c>
      <c r="K435" s="21" t="s">
        <v>65</v>
      </c>
      <c r="L435" s="21" t="s">
        <v>47</v>
      </c>
      <c r="M435" s="21" t="s">
        <v>603</v>
      </c>
      <c r="N435" s="36">
        <v>46006</v>
      </c>
      <c r="O435" s="36">
        <v>46006</v>
      </c>
      <c r="P435" s="19" t="s">
        <v>75</v>
      </c>
      <c r="Q435" s="37" t="s">
        <v>735</v>
      </c>
      <c r="R435" s="21" t="s">
        <v>790</v>
      </c>
      <c r="S435" s="21" t="s">
        <v>92</v>
      </c>
      <c r="T435" s="21" t="s">
        <v>94</v>
      </c>
      <c r="U435" s="21">
        <v>0</v>
      </c>
      <c r="V435" s="21" t="s">
        <v>736</v>
      </c>
      <c r="W435" s="19">
        <v>500154</v>
      </c>
      <c r="X435" s="19" t="str">
        <f>IFERROR(VLOOKUP(W435,'Personel Bilgi'!A:B,2,0),"---")</f>
        <v>FATMA BEYZA AKKAN</v>
      </c>
      <c r="Y435" s="19" t="str">
        <f>IFERROR(VLOOKUP(W435,'Personel Bilgi'!A:C,3,0),"---")</f>
        <v>SAMET KOCABEYOGLU</v>
      </c>
      <c r="Z435" s="22" t="s">
        <v>94</v>
      </c>
      <c r="AA435" s="22" t="s">
        <v>616</v>
      </c>
      <c r="AB435" s="21" t="s">
        <v>65</v>
      </c>
      <c r="AC435" s="21" t="s">
        <v>47</v>
      </c>
      <c r="AD435" s="21" t="s">
        <v>603</v>
      </c>
    </row>
    <row r="436" spans="1:30" x14ac:dyDescent="0.25">
      <c r="A436" s="19" t="s">
        <v>11</v>
      </c>
      <c r="B436" s="21" t="s">
        <v>948</v>
      </c>
      <c r="C436" s="21">
        <v>5306690349</v>
      </c>
      <c r="D436" s="21" t="s">
        <v>14</v>
      </c>
      <c r="E436" s="19" t="str">
        <f>IFERROR(VLOOKUP(D436,Tanımlar!C:D,2,0),"- - -")</f>
        <v>DAĞITIM</v>
      </c>
      <c r="F436" s="21">
        <v>500158</v>
      </c>
      <c r="G436" s="21" t="str">
        <f>IFERROR(VLOOKUP(F436,'Personel Bilgi'!A:B,2,0),"- - - ")</f>
        <v>MEHTAP SONMEZ</v>
      </c>
      <c r="H436" s="21" t="str">
        <f>IFERROR(VLOOKUP(F436,'Personel Bilgi'!A:D,3,0),"- - -")</f>
        <v>KURSAD TERCANLI</v>
      </c>
      <c r="I436" s="21" t="str">
        <f>IFERROR(VLOOKUP(F436,'Personel Bilgi'!A:D,4,0),"- - -")</f>
        <v>ERZURUM</v>
      </c>
      <c r="J436" s="21" t="str">
        <f>IFERROR(VLOOKUP(F436,'Personel Bilgi'!A:E,5,0),"- - -")</f>
        <v>MÜŞTERİ TEMSİLCİSİ</v>
      </c>
      <c r="K436" s="21" t="s">
        <v>70</v>
      </c>
      <c r="L436" s="21" t="s">
        <v>96</v>
      </c>
      <c r="M436" s="21" t="s">
        <v>39</v>
      </c>
      <c r="N436" s="36">
        <v>46007</v>
      </c>
      <c r="O436" s="36">
        <v>46008</v>
      </c>
      <c r="P436" s="19" t="s">
        <v>79</v>
      </c>
      <c r="Q436" s="37" t="s">
        <v>735</v>
      </c>
      <c r="R436" s="19" t="s">
        <v>86</v>
      </c>
      <c r="S436" s="21" t="s">
        <v>92</v>
      </c>
      <c r="T436" s="21" t="s">
        <v>94</v>
      </c>
      <c r="U436" s="21">
        <v>0</v>
      </c>
      <c r="V436" s="21" t="s">
        <v>736</v>
      </c>
      <c r="W436" s="19">
        <v>500158</v>
      </c>
      <c r="X436" s="19" t="str">
        <f>IFERROR(VLOOKUP(W436,'Personel Bilgi'!A:B,2,0),"---")</f>
        <v>MEHTAP SONMEZ</v>
      </c>
      <c r="Y436" s="19" t="str">
        <f>IFERROR(VLOOKUP(W436,'Personel Bilgi'!A:C,3,0),"---")</f>
        <v>KURSAD TERCANLI</v>
      </c>
      <c r="Z436" s="22" t="s">
        <v>94</v>
      </c>
      <c r="AA436" s="22" t="s">
        <v>616</v>
      </c>
      <c r="AB436" s="21" t="s">
        <v>70</v>
      </c>
      <c r="AC436" s="21" t="s">
        <v>96</v>
      </c>
      <c r="AD436" s="21" t="s">
        <v>39</v>
      </c>
    </row>
    <row r="437" spans="1:30" x14ac:dyDescent="0.25">
      <c r="A437" s="19" t="s">
        <v>11</v>
      </c>
      <c r="B437" s="21" t="s">
        <v>1143</v>
      </c>
      <c r="C437" s="21">
        <v>5333987677</v>
      </c>
      <c r="D437" s="21" t="s">
        <v>13</v>
      </c>
      <c r="E437" s="19" t="str">
        <f>IFERROR(VLOOKUP(D437,Tanımlar!C:D,2,0),"- - -")</f>
        <v>PERAKENDE</v>
      </c>
      <c r="F437" s="21">
        <v>600525</v>
      </c>
      <c r="G437" s="21" t="str">
        <f>IFERROR(VLOOKUP(F437,'Personel Bilgi'!A:B,2,0),"- - - ")</f>
        <v>MELIKE ULUSU</v>
      </c>
      <c r="H437" s="21" t="str">
        <f>IFERROR(VLOOKUP(F437,'Personel Bilgi'!A:D,3,0),"- - -")</f>
        <v>ASYA DAG</v>
      </c>
      <c r="I437" s="21" t="str">
        <f>IFERROR(VLOOKUP(F437,'Personel Bilgi'!A:D,4,0),"- - -")</f>
        <v>ANKARA</v>
      </c>
      <c r="J437" s="21" t="str">
        <f>IFERROR(VLOOKUP(F437,'Personel Bilgi'!A:E,5,0),"- - -")</f>
        <v>MÜŞTERİ TEMSİLCİSİ</v>
      </c>
      <c r="K437" s="22" t="s">
        <v>66</v>
      </c>
      <c r="L437" s="22" t="s">
        <v>47</v>
      </c>
      <c r="M437" s="21" t="s">
        <v>603</v>
      </c>
      <c r="N437" s="36">
        <v>46022</v>
      </c>
      <c r="O437" s="36">
        <v>46028</v>
      </c>
      <c r="P437" s="21" t="s">
        <v>80</v>
      </c>
      <c r="Q437" s="37" t="s">
        <v>735</v>
      </c>
      <c r="R437" s="21" t="s">
        <v>790</v>
      </c>
      <c r="S437" s="21" t="s">
        <v>92</v>
      </c>
      <c r="T437" s="21" t="s">
        <v>95</v>
      </c>
      <c r="U437" s="21">
        <v>100</v>
      </c>
      <c r="V437" s="21" t="s">
        <v>736</v>
      </c>
      <c r="W437" s="19">
        <v>600525</v>
      </c>
      <c r="X437" s="19" t="str">
        <f>IFERROR(VLOOKUP(W437,'Personel Bilgi'!A:B,2,0),"---")</f>
        <v>MELIKE ULUSU</v>
      </c>
      <c r="Y437" s="19" t="str">
        <f>IFERROR(VLOOKUP(W437,'Personel Bilgi'!A:C,3,0),"---")</f>
        <v>ASYA DAG</v>
      </c>
      <c r="Z437" s="22" t="s">
        <v>95</v>
      </c>
      <c r="AA437" s="22" t="s">
        <v>617</v>
      </c>
      <c r="AB437" s="22" t="s">
        <v>66</v>
      </c>
      <c r="AC437" s="22" t="s">
        <v>47</v>
      </c>
      <c r="AD437" s="21" t="s">
        <v>603</v>
      </c>
    </row>
    <row r="438" spans="1:30" x14ac:dyDescent="0.25">
      <c r="A438" s="19" t="s">
        <v>11</v>
      </c>
      <c r="B438" s="21" t="s">
        <v>1144</v>
      </c>
      <c r="C438" s="21">
        <v>5368319160</v>
      </c>
      <c r="D438" s="21" t="s">
        <v>15</v>
      </c>
      <c r="E438" s="19" t="str">
        <f>IFERROR(VLOOKUP(D438,Tanımlar!C:D,2,0),"- - -")</f>
        <v>PERAKENDE</v>
      </c>
      <c r="F438" s="21">
        <v>111272</v>
      </c>
      <c r="G438" s="21" t="str">
        <f>IFERROR(VLOOKUP(F438,'Personel Bilgi'!A:B,2,0),"- - - ")</f>
        <v>RIDVAN GUNES</v>
      </c>
      <c r="H438" s="21" t="str">
        <f>IFERROR(VLOOKUP(F438,'Personel Bilgi'!A:D,3,0),"- - -")</f>
        <v>YAPRAK KARAKOC</v>
      </c>
      <c r="I438" s="21" t="str">
        <f>IFERROR(VLOOKUP(F438,'Personel Bilgi'!A:D,4,0),"- - -")</f>
        <v>KARS</v>
      </c>
      <c r="J438" s="21" t="str">
        <f>IFERROR(VLOOKUP(F438,'Personel Bilgi'!A:E,5,0),"- - -")</f>
        <v>MÜŞTERİ TEMSİLCİSİ</v>
      </c>
      <c r="K438" s="22" t="s">
        <v>66</v>
      </c>
      <c r="L438" s="22" t="s">
        <v>47</v>
      </c>
      <c r="M438" s="21" t="s">
        <v>603</v>
      </c>
      <c r="N438" s="36">
        <v>46007</v>
      </c>
      <c r="O438" s="36">
        <v>46016</v>
      </c>
      <c r="P438" s="21" t="s">
        <v>80</v>
      </c>
      <c r="Q438" s="37" t="s">
        <v>735</v>
      </c>
      <c r="R438" s="21" t="s">
        <v>790</v>
      </c>
      <c r="S438" s="21" t="s">
        <v>92</v>
      </c>
      <c r="T438" s="21" t="s">
        <v>95</v>
      </c>
      <c r="U438" s="21">
        <v>65</v>
      </c>
      <c r="V438" s="21" t="s">
        <v>736</v>
      </c>
      <c r="W438" s="21">
        <v>111272</v>
      </c>
      <c r="X438" s="21" t="s">
        <v>680</v>
      </c>
      <c r="Y438" s="21" t="s">
        <v>285</v>
      </c>
      <c r="Z438" s="22" t="s">
        <v>95</v>
      </c>
      <c r="AA438" s="22" t="s">
        <v>617</v>
      </c>
      <c r="AB438" s="22" t="s">
        <v>66</v>
      </c>
      <c r="AC438" s="22" t="s">
        <v>47</v>
      </c>
      <c r="AD438" s="21" t="s">
        <v>603</v>
      </c>
    </row>
    <row r="439" spans="1:30" x14ac:dyDescent="0.25">
      <c r="A439" s="19" t="s">
        <v>11</v>
      </c>
      <c r="B439" s="21" t="s">
        <v>1146</v>
      </c>
      <c r="C439" s="21">
        <v>5013715407</v>
      </c>
      <c r="D439" s="21" t="s">
        <v>13</v>
      </c>
      <c r="E439" s="19" t="str">
        <f>IFERROR(VLOOKUP(D439,Tanımlar!C:D,2,0),"- - -")</f>
        <v>PERAKENDE</v>
      </c>
      <c r="F439" s="21" t="s">
        <v>735</v>
      </c>
      <c r="G439" s="21" t="s">
        <v>735</v>
      </c>
      <c r="H439" s="21" t="s">
        <v>735</v>
      </c>
      <c r="I439" s="21" t="s">
        <v>735</v>
      </c>
      <c r="J439" s="21" t="s">
        <v>735</v>
      </c>
      <c r="K439" s="21" t="s">
        <v>735</v>
      </c>
      <c r="L439" s="21" t="s">
        <v>735</v>
      </c>
      <c r="M439" s="21" t="s">
        <v>864</v>
      </c>
      <c r="N439" s="36">
        <v>46021</v>
      </c>
      <c r="O439" s="36">
        <v>46024</v>
      </c>
      <c r="P439" s="21" t="s">
        <v>81</v>
      </c>
      <c r="Q439" s="37" t="s">
        <v>735</v>
      </c>
      <c r="R439" s="21" t="s">
        <v>790</v>
      </c>
      <c r="S439" s="21" t="s">
        <v>93</v>
      </c>
      <c r="T439" s="21" t="s">
        <v>95</v>
      </c>
      <c r="U439" s="21" t="s">
        <v>735</v>
      </c>
      <c r="V439" s="21" t="s">
        <v>736</v>
      </c>
      <c r="W439" s="19">
        <v>600553</v>
      </c>
      <c r="X439" s="19" t="str">
        <f>IFERROR(VLOOKUP(W439,'Personel Bilgi'!A:B,2,0),"---")</f>
        <v>ILKNUR BEKTAS</v>
      </c>
      <c r="Y439" s="19" t="str">
        <f>IFERROR(VLOOKUP(W439,'Personel Bilgi'!A:C,3,0),"---")</f>
        <v>FERHAT DEMIR</v>
      </c>
      <c r="Z439" s="22" t="s">
        <v>95</v>
      </c>
      <c r="AA439" s="22" t="s">
        <v>617</v>
      </c>
      <c r="AB439" s="21" t="s">
        <v>735</v>
      </c>
      <c r="AC439" s="21" t="s">
        <v>735</v>
      </c>
      <c r="AD439" s="21" t="s">
        <v>864</v>
      </c>
    </row>
    <row r="440" spans="1:30" x14ac:dyDescent="0.25">
      <c r="A440" s="46"/>
      <c r="B440" s="46"/>
      <c r="C440" s="46"/>
      <c r="D440" s="21"/>
      <c r="E440" s="19" t="str">
        <f>IFERROR(VLOOKUP(D440,Tanımlar!C:D,2,0),"- - -")</f>
        <v>- - -</v>
      </c>
      <c r="F440" s="46"/>
      <c r="G440" s="46" t="str">
        <f>IFERROR(VLOOKUP(F440,'Personel Bilgi'!A:B,2,0),"- - - ")</f>
        <v xml:space="preserve">- - - </v>
      </c>
      <c r="H440" s="46" t="str">
        <f>IFERROR(VLOOKUP(F440,'Personel Bilgi'!A:D,3,0),"- - -")</f>
        <v>- - -</v>
      </c>
      <c r="I440" s="46" t="str">
        <f>IFERROR(VLOOKUP(F440,'Personel Bilgi'!A:D,4,0),"- - -")</f>
        <v>- - -</v>
      </c>
      <c r="J440" s="46" t="str">
        <f>IFERROR(VLOOKUP(F440,'Personel Bilgi'!A:E,5,0),"- - -")</f>
        <v>- - -</v>
      </c>
      <c r="K440" s="46"/>
      <c r="L440" s="46"/>
      <c r="M440" s="46"/>
      <c r="N440" s="46"/>
      <c r="O440" s="46"/>
      <c r="P440" s="46"/>
      <c r="Q440" s="46"/>
      <c r="R440" s="19"/>
      <c r="S440" s="46"/>
      <c r="T440" s="46"/>
      <c r="U440" s="46"/>
      <c r="V440" s="46"/>
      <c r="W440" s="19"/>
      <c r="X440" s="19" t="str">
        <f>IFERROR(VLOOKUP(W440,'Personel Bilgi'!A:B,2,0),"---")</f>
        <v>---</v>
      </c>
      <c r="Y440" s="19" t="str">
        <f>IFERROR(VLOOKUP(W440,'Personel Bilgi'!A:C,3,0),"---")</f>
        <v>---</v>
      </c>
      <c r="Z440" s="46"/>
      <c r="AA440" s="46"/>
    </row>
    <row r="441" spans="1:30" x14ac:dyDescent="0.25">
      <c r="A441" s="46"/>
      <c r="B441" s="46"/>
      <c r="C441" s="46"/>
      <c r="D441" s="21"/>
      <c r="E441" s="19" t="str">
        <f>IFERROR(VLOOKUP(D441,Tanımlar!C:D,2,0),"- - -")</f>
        <v>- - -</v>
      </c>
      <c r="F441" s="46"/>
      <c r="G441" s="46" t="str">
        <f>IFERROR(VLOOKUP(F441,'Personel Bilgi'!A:B,2,0),"- - - ")</f>
        <v xml:space="preserve">- - - </v>
      </c>
      <c r="H441" s="46" t="str">
        <f>IFERROR(VLOOKUP(F441,'Personel Bilgi'!A:D,3,0),"- - -")</f>
        <v>- - -</v>
      </c>
      <c r="I441" s="46" t="str">
        <f>IFERROR(VLOOKUP(F441,'Personel Bilgi'!A:D,4,0),"- - -")</f>
        <v>- - -</v>
      </c>
      <c r="J441" s="46" t="str">
        <f>IFERROR(VLOOKUP(F441,'Personel Bilgi'!A:E,5,0),"- - -")</f>
        <v>- - -</v>
      </c>
      <c r="K441" s="46"/>
      <c r="L441" s="46"/>
      <c r="M441" s="46"/>
      <c r="N441" s="46"/>
      <c r="O441" s="46"/>
      <c r="P441" s="46"/>
      <c r="Q441" s="46"/>
      <c r="R441" s="19"/>
      <c r="S441" s="46"/>
      <c r="T441" s="46"/>
      <c r="U441" s="46"/>
      <c r="V441" s="46"/>
      <c r="W441" s="19"/>
      <c r="X441" s="19" t="str">
        <f>IFERROR(VLOOKUP(W441,'Personel Bilgi'!A:B,2,0),"---")</f>
        <v>---</v>
      </c>
      <c r="Y441" s="19" t="str">
        <f>IFERROR(VLOOKUP(W441,'Personel Bilgi'!A:C,3,0),"---")</f>
        <v>---</v>
      </c>
      <c r="Z441" s="46"/>
      <c r="AA441" s="46"/>
    </row>
    <row r="442" spans="1:30" x14ac:dyDescent="0.25">
      <c r="A442" s="46"/>
      <c r="B442" s="46"/>
      <c r="C442" s="46"/>
      <c r="D442" s="21"/>
      <c r="E442" s="19" t="str">
        <f>IFERROR(VLOOKUP(D442,Tanımlar!C:D,2,0),"- - -")</f>
        <v>- - -</v>
      </c>
      <c r="F442" s="46"/>
      <c r="G442" s="46" t="str">
        <f>IFERROR(VLOOKUP(F442,'Personel Bilgi'!A:B,2,0),"- - - ")</f>
        <v xml:space="preserve">- - - </v>
      </c>
      <c r="H442" s="46" t="str">
        <f>IFERROR(VLOOKUP(F442,'Personel Bilgi'!A:D,3,0),"- - -")</f>
        <v>- - -</v>
      </c>
      <c r="I442" s="46" t="str">
        <f>IFERROR(VLOOKUP(F442,'Personel Bilgi'!A:D,4,0),"- - -")</f>
        <v>- - -</v>
      </c>
      <c r="J442" s="46" t="str">
        <f>IFERROR(VLOOKUP(F442,'Personel Bilgi'!A:E,5,0),"- - -")</f>
        <v>- - -</v>
      </c>
      <c r="K442" s="46"/>
      <c r="L442" s="46"/>
      <c r="M442" s="46"/>
      <c r="N442" s="46"/>
      <c r="O442" s="46"/>
      <c r="P442" s="46"/>
      <c r="Q442" s="46"/>
      <c r="R442" s="19"/>
      <c r="S442" s="46"/>
      <c r="T442" s="46"/>
      <c r="U442" s="46"/>
      <c r="V442" s="46"/>
      <c r="W442" s="19"/>
      <c r="X442" s="19" t="str">
        <f>IFERROR(VLOOKUP(W442,'Personel Bilgi'!A:B,2,0),"---")</f>
        <v>---</v>
      </c>
      <c r="Y442" s="19" t="str">
        <f>IFERROR(VLOOKUP(W442,'Personel Bilgi'!A:C,3,0),"---")</f>
        <v>---</v>
      </c>
      <c r="Z442" s="46"/>
      <c r="AA442" s="46"/>
    </row>
    <row r="443" spans="1:30" x14ac:dyDescent="0.25">
      <c r="A443" s="46"/>
      <c r="B443" s="46"/>
      <c r="C443" s="46"/>
      <c r="D443" s="21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19"/>
      <c r="S443" s="46"/>
      <c r="T443" s="46"/>
      <c r="U443" s="46"/>
      <c r="V443" s="46"/>
      <c r="W443" s="19"/>
      <c r="X443" s="19" t="str">
        <f>IFERROR(VLOOKUP(W443,'Personel Bilgi'!A:B,2,0),"---")</f>
        <v>---</v>
      </c>
      <c r="Y443" s="19" t="str">
        <f>IFERROR(VLOOKUP(W443,'Personel Bilgi'!A:C,3,0),"---")</f>
        <v>---</v>
      </c>
      <c r="Z443" s="46"/>
      <c r="AA443" s="46"/>
    </row>
    <row r="444" spans="1:30" x14ac:dyDescent="0.25">
      <c r="A444" s="46"/>
      <c r="B444" s="46"/>
      <c r="C444" s="46"/>
      <c r="D444" s="21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19"/>
      <c r="S444" s="46"/>
      <c r="T444" s="46"/>
      <c r="U444" s="46"/>
      <c r="V444" s="46"/>
      <c r="W444" s="19"/>
      <c r="X444" s="19" t="str">
        <f>IFERROR(VLOOKUP(W444,'Personel Bilgi'!A:B,2,0),"---")</f>
        <v>---</v>
      </c>
      <c r="Y444" s="19" t="str">
        <f>IFERROR(VLOOKUP(W444,'Personel Bilgi'!A:C,3,0),"---")</f>
        <v>---</v>
      </c>
      <c r="Z444" s="46"/>
      <c r="AA444" s="46"/>
    </row>
    <row r="445" spans="1:30" x14ac:dyDescent="0.25">
      <c r="A445" s="46"/>
      <c r="B445" s="46"/>
      <c r="C445" s="46"/>
      <c r="D445" s="21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19"/>
      <c r="S445" s="46"/>
      <c r="T445" s="46"/>
      <c r="U445" s="46"/>
      <c r="V445" s="46"/>
      <c r="W445" s="19"/>
      <c r="X445" s="19" t="str">
        <f>IFERROR(VLOOKUP(W445,'Personel Bilgi'!A:B,2,0),"---")</f>
        <v>---</v>
      </c>
      <c r="Y445" s="19" t="str">
        <f>IFERROR(VLOOKUP(W445,'Personel Bilgi'!A:C,3,0),"---")</f>
        <v>---</v>
      </c>
      <c r="Z445" s="46"/>
      <c r="AA445" s="46"/>
    </row>
    <row r="446" spans="1:30" x14ac:dyDescent="0.2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19"/>
      <c r="S446" s="46"/>
      <c r="T446" s="46"/>
      <c r="U446" s="46"/>
      <c r="V446" s="46"/>
      <c r="W446" s="46"/>
      <c r="X446" s="46"/>
      <c r="Y446" s="46"/>
      <c r="Z446" s="46"/>
      <c r="AA446" s="46"/>
    </row>
    <row r="447" spans="1:30" x14ac:dyDescent="0.2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19"/>
      <c r="S447" s="46"/>
      <c r="T447" s="46"/>
      <c r="U447" s="46"/>
      <c r="V447" s="46"/>
      <c r="W447" s="46"/>
      <c r="X447" s="46"/>
      <c r="Y447" s="46"/>
      <c r="Z447" s="46"/>
      <c r="AA447" s="46"/>
    </row>
    <row r="448" spans="1:30" x14ac:dyDescent="0.2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19"/>
      <c r="S448" s="46"/>
      <c r="T448" s="46"/>
      <c r="U448" s="46"/>
      <c r="V448" s="46"/>
      <c r="W448" s="46"/>
      <c r="X448" s="46"/>
      <c r="Y448" s="46"/>
      <c r="Z448" s="46"/>
      <c r="AA448" s="46"/>
    </row>
    <row r="449" spans="1:27" x14ac:dyDescent="0.2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19"/>
      <c r="S449" s="46"/>
      <c r="T449" s="46"/>
      <c r="U449" s="46"/>
      <c r="V449" s="46"/>
      <c r="W449" s="46"/>
      <c r="X449" s="46"/>
      <c r="Y449" s="46"/>
      <c r="Z449" s="46"/>
      <c r="AA449" s="46"/>
    </row>
    <row r="450" spans="1:27" x14ac:dyDescent="0.2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19"/>
      <c r="S450" s="46"/>
      <c r="T450" s="46"/>
      <c r="U450" s="46"/>
      <c r="V450" s="46"/>
      <c r="W450" s="46"/>
      <c r="X450" s="46"/>
      <c r="Y450" s="46"/>
      <c r="Z450" s="46"/>
      <c r="AA450" s="46"/>
    </row>
    <row r="451" spans="1:27" x14ac:dyDescent="0.2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19"/>
      <c r="S451" s="46"/>
      <c r="T451" s="46"/>
      <c r="U451" s="46"/>
      <c r="V451" s="46"/>
      <c r="W451" s="46"/>
      <c r="X451" s="46"/>
      <c r="Y451" s="46"/>
      <c r="Z451" s="46"/>
      <c r="AA451" s="46"/>
    </row>
    <row r="452" spans="1:27" x14ac:dyDescent="0.2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19"/>
      <c r="S452" s="46"/>
      <c r="T452" s="46"/>
      <c r="U452" s="46"/>
      <c r="V452" s="46"/>
      <c r="W452" s="46"/>
      <c r="X452" s="46"/>
      <c r="Y452" s="46"/>
      <c r="Z452" s="46"/>
      <c r="AA452" s="46"/>
    </row>
    <row r="453" spans="1:27" x14ac:dyDescent="0.2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19"/>
      <c r="S453" s="46"/>
      <c r="T453" s="46"/>
      <c r="U453" s="46"/>
      <c r="V453" s="46"/>
      <c r="W453" s="46"/>
      <c r="X453" s="46"/>
      <c r="Y453" s="46"/>
      <c r="Z453" s="46"/>
      <c r="AA453" s="46"/>
    </row>
    <row r="454" spans="1:27" x14ac:dyDescent="0.2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19"/>
      <c r="S454" s="46"/>
      <c r="T454" s="46"/>
      <c r="U454" s="46"/>
      <c r="V454" s="46"/>
      <c r="W454" s="46"/>
      <c r="X454" s="46"/>
      <c r="Y454" s="46"/>
      <c r="Z454" s="46"/>
      <c r="AA454" s="46"/>
    </row>
    <row r="455" spans="1:27" x14ac:dyDescent="0.2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19"/>
      <c r="S455" s="46"/>
      <c r="T455" s="46"/>
      <c r="U455" s="46"/>
      <c r="V455" s="46"/>
      <c r="W455" s="46"/>
      <c r="X455" s="46"/>
      <c r="Y455" s="46"/>
      <c r="Z455" s="46"/>
      <c r="AA455" s="46"/>
    </row>
    <row r="456" spans="1:27" x14ac:dyDescent="0.2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 spans="1:27" x14ac:dyDescent="0.2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 spans="1:27" x14ac:dyDescent="0.2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 spans="1:27" x14ac:dyDescent="0.2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 spans="1:27" x14ac:dyDescent="0.2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 spans="1:27" x14ac:dyDescent="0.2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 spans="1:27" x14ac:dyDescent="0.2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 spans="1:27" x14ac:dyDescent="0.2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 spans="1:27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 spans="1:27" x14ac:dyDescent="0.2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 spans="1:27" x14ac:dyDescent="0.2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 spans="1:27" x14ac:dyDescent="0.2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 spans="1:27" x14ac:dyDescent="0.2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 spans="1:27" x14ac:dyDescent="0.2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 spans="1:27" x14ac:dyDescent="0.2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 spans="1:27" x14ac:dyDescent="0.2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 spans="1:27" x14ac:dyDescent="0.2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 spans="1:27" x14ac:dyDescent="0.2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 spans="1:27" x14ac:dyDescent="0.2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 spans="1:27" x14ac:dyDescent="0.2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 spans="1:27" x14ac:dyDescent="0.2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 spans="1:27" x14ac:dyDescent="0.2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 spans="1:27" x14ac:dyDescent="0.2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 spans="1:27" x14ac:dyDescent="0.2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 spans="1:27" x14ac:dyDescent="0.2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 spans="1:27" x14ac:dyDescent="0.2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 spans="1:27" x14ac:dyDescent="0.2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 spans="1:27" x14ac:dyDescent="0.2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 spans="1:27" x14ac:dyDescent="0.2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 spans="1:27" x14ac:dyDescent="0.2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 spans="1:27" x14ac:dyDescent="0.2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 spans="1:27" x14ac:dyDescent="0.2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 spans="1:27" x14ac:dyDescent="0.2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 spans="1:27" x14ac:dyDescent="0.2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 spans="1:27" x14ac:dyDescent="0.2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 spans="1:27" x14ac:dyDescent="0.2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 spans="1:27" x14ac:dyDescent="0.2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 spans="1:27" x14ac:dyDescent="0.2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 spans="1:27" x14ac:dyDescent="0.2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 spans="1:27" x14ac:dyDescent="0.2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 spans="1:27" x14ac:dyDescent="0.2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 spans="1:27" x14ac:dyDescent="0.2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 spans="1:27" x14ac:dyDescent="0.2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 spans="1:27" x14ac:dyDescent="0.2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 spans="1:27" x14ac:dyDescent="0.2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 spans="1:27" x14ac:dyDescent="0.2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 spans="1:27" x14ac:dyDescent="0.2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 spans="1:27" x14ac:dyDescent="0.2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 spans="1:27" x14ac:dyDescent="0.2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 spans="1:27" x14ac:dyDescent="0.2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 spans="1:27" x14ac:dyDescent="0.2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 spans="1:27" x14ac:dyDescent="0.2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 spans="1:27" x14ac:dyDescent="0.2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 spans="1:27" x14ac:dyDescent="0.2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 spans="1:27" x14ac:dyDescent="0.2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 spans="1:27" x14ac:dyDescent="0.2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 spans="1:27" x14ac:dyDescent="0.2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 spans="1:27" x14ac:dyDescent="0.2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 spans="1:27" x14ac:dyDescent="0.2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 spans="1:27" x14ac:dyDescent="0.2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 spans="1:27" x14ac:dyDescent="0.2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 spans="1:27" x14ac:dyDescent="0.2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 spans="1:27" x14ac:dyDescent="0.2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 spans="1:27" x14ac:dyDescent="0.2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 spans="1:27" x14ac:dyDescent="0.2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 spans="1:27" x14ac:dyDescent="0.2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 spans="1:27" x14ac:dyDescent="0.2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 spans="1:27" x14ac:dyDescent="0.2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 spans="1:27" x14ac:dyDescent="0.2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 spans="1:27" x14ac:dyDescent="0.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 spans="1:27" x14ac:dyDescent="0.2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 spans="1:27" x14ac:dyDescent="0.2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 spans="1:27" x14ac:dyDescent="0.2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 spans="1:27" x14ac:dyDescent="0.2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 spans="1:27" x14ac:dyDescent="0.2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 spans="1:27" x14ac:dyDescent="0.2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 spans="1:27" x14ac:dyDescent="0.2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 spans="1:27" x14ac:dyDescent="0.2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 spans="1:27" x14ac:dyDescent="0.2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 spans="1:27" x14ac:dyDescent="0.2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 spans="1:27" x14ac:dyDescent="0.2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 spans="1:27" x14ac:dyDescent="0.2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 spans="1:27" x14ac:dyDescent="0.2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 spans="1:27" x14ac:dyDescent="0.2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 spans="1:27" x14ac:dyDescent="0.2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 spans="1:27" x14ac:dyDescent="0.2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 spans="1:27" x14ac:dyDescent="0.2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 spans="1:27" x14ac:dyDescent="0.2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 spans="1:27" x14ac:dyDescent="0.2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 spans="1:27" x14ac:dyDescent="0.2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 spans="1:27" x14ac:dyDescent="0.2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 spans="1:27" x14ac:dyDescent="0.2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 spans="1:27" x14ac:dyDescent="0.2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 spans="1:27" x14ac:dyDescent="0.2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 spans="1:27" x14ac:dyDescent="0.2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 spans="1:27" x14ac:dyDescent="0.2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 spans="1:27" x14ac:dyDescent="0.2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 spans="1:27" x14ac:dyDescent="0.2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 spans="1:27" x14ac:dyDescent="0.2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 spans="1:27" x14ac:dyDescent="0.2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 spans="1:27" x14ac:dyDescent="0.2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 spans="1:27" x14ac:dyDescent="0.2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 spans="1:27" x14ac:dyDescent="0.2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 spans="1:27" x14ac:dyDescent="0.2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 spans="1:27" x14ac:dyDescent="0.2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 spans="1:27" x14ac:dyDescent="0.2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 spans="1:27" x14ac:dyDescent="0.2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 spans="1:27" x14ac:dyDescent="0.2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 spans="1:27" x14ac:dyDescent="0.2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 spans="1:27" x14ac:dyDescent="0.2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 spans="1:27" x14ac:dyDescent="0.2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 spans="1:27" x14ac:dyDescent="0.2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 spans="1:27" x14ac:dyDescent="0.2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 spans="1:27" x14ac:dyDescent="0.2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 spans="1:27" x14ac:dyDescent="0.2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 spans="1:27" x14ac:dyDescent="0.2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 spans="1:27" x14ac:dyDescent="0.2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 spans="1:27" x14ac:dyDescent="0.2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 spans="1:27" x14ac:dyDescent="0.2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 spans="1:27" x14ac:dyDescent="0.2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 spans="1:27" x14ac:dyDescent="0.2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 spans="1:27" x14ac:dyDescent="0.2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 spans="1:27" x14ac:dyDescent="0.2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 spans="1:27" x14ac:dyDescent="0.2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 spans="1:27" x14ac:dyDescent="0.2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 spans="1:27" x14ac:dyDescent="0.2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 spans="1:27" x14ac:dyDescent="0.2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 spans="1:27" x14ac:dyDescent="0.2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 spans="1:27" x14ac:dyDescent="0.2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 spans="1:27" x14ac:dyDescent="0.2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 spans="1:27" x14ac:dyDescent="0.2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 spans="1:27" x14ac:dyDescent="0.2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 spans="1:27" x14ac:dyDescent="0.2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 spans="1:27" x14ac:dyDescent="0.2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 spans="1:27" x14ac:dyDescent="0.2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 spans="1:27" x14ac:dyDescent="0.2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 spans="1:27" x14ac:dyDescent="0.2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 spans="1:27" x14ac:dyDescent="0.2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 spans="1:27" x14ac:dyDescent="0.2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 spans="1:27" x14ac:dyDescent="0.2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 spans="1:27" x14ac:dyDescent="0.2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 spans="1:27" x14ac:dyDescent="0.2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 spans="1:27" x14ac:dyDescent="0.2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 spans="1:27" x14ac:dyDescent="0.2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 spans="1:27" x14ac:dyDescent="0.2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 spans="1:27" x14ac:dyDescent="0.2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 spans="1:27" x14ac:dyDescent="0.2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 spans="1:27" x14ac:dyDescent="0.2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 spans="1:27" x14ac:dyDescent="0.2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 spans="1:27" x14ac:dyDescent="0.2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 spans="1:27" x14ac:dyDescent="0.2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 spans="1:27" x14ac:dyDescent="0.2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 spans="1:27" x14ac:dyDescent="0.2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 spans="1:27" x14ac:dyDescent="0.2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 spans="1:27" x14ac:dyDescent="0.2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 spans="1:27" x14ac:dyDescent="0.2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 spans="1:27" x14ac:dyDescent="0.2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 spans="1:27" x14ac:dyDescent="0.2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 spans="1:27" x14ac:dyDescent="0.2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 spans="1:27" x14ac:dyDescent="0.2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 spans="1:27" x14ac:dyDescent="0.2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 spans="1:27" x14ac:dyDescent="0.2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 spans="1:27" x14ac:dyDescent="0.2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 spans="1:27" x14ac:dyDescent="0.2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 spans="1:27" x14ac:dyDescent="0.2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 spans="1:27" x14ac:dyDescent="0.2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 spans="1:27" x14ac:dyDescent="0.2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 spans="1:27" x14ac:dyDescent="0.2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 spans="1:27" x14ac:dyDescent="0.2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 spans="1:27" x14ac:dyDescent="0.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 spans="1:27" x14ac:dyDescent="0.2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 spans="1:27" x14ac:dyDescent="0.2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 spans="1:27" x14ac:dyDescent="0.2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 spans="1:27" x14ac:dyDescent="0.2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 spans="1:27" x14ac:dyDescent="0.2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 spans="1:27" x14ac:dyDescent="0.2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 spans="1:27" x14ac:dyDescent="0.2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 spans="1:27" x14ac:dyDescent="0.2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 spans="1:27" x14ac:dyDescent="0.2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 spans="1:27" x14ac:dyDescent="0.2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 spans="1:27" x14ac:dyDescent="0.2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 spans="1:27" x14ac:dyDescent="0.2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 spans="1:27" x14ac:dyDescent="0.2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 spans="1:27" x14ac:dyDescent="0.2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 spans="1:27" x14ac:dyDescent="0.2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 spans="1:27" x14ac:dyDescent="0.2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 spans="1:27" x14ac:dyDescent="0.2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 spans="1:27" x14ac:dyDescent="0.2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 spans="1:27" x14ac:dyDescent="0.2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 spans="1:27" x14ac:dyDescent="0.2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 spans="1:27" x14ac:dyDescent="0.2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 spans="1:27" x14ac:dyDescent="0.2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 spans="1:27" x14ac:dyDescent="0.2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 spans="1:27" x14ac:dyDescent="0.2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 spans="1:27" x14ac:dyDescent="0.2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 spans="1:27" x14ac:dyDescent="0.2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 spans="1:27" x14ac:dyDescent="0.2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 spans="1:27" x14ac:dyDescent="0.2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 spans="1:27" x14ac:dyDescent="0.2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 spans="1:27" x14ac:dyDescent="0.2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 spans="1:27" x14ac:dyDescent="0.2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 spans="1:27" x14ac:dyDescent="0.2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 spans="1:27" x14ac:dyDescent="0.2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 spans="1:27" x14ac:dyDescent="0.2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 spans="1:27" x14ac:dyDescent="0.2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 spans="1:27" x14ac:dyDescent="0.2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 spans="1:27" x14ac:dyDescent="0.2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 spans="1:27" x14ac:dyDescent="0.2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 spans="1:27" x14ac:dyDescent="0.2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 spans="1:27" x14ac:dyDescent="0.2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 spans="1:27" x14ac:dyDescent="0.2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 spans="1:27" x14ac:dyDescent="0.2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 spans="1:27" x14ac:dyDescent="0.2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 spans="1:27" x14ac:dyDescent="0.2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 spans="1:27" x14ac:dyDescent="0.2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 spans="1:27" x14ac:dyDescent="0.2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 spans="1:27" x14ac:dyDescent="0.2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 spans="1:27" x14ac:dyDescent="0.2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 spans="1:27" x14ac:dyDescent="0.2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 spans="1:27" x14ac:dyDescent="0.2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 spans="1:27" x14ac:dyDescent="0.2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 spans="1:27" x14ac:dyDescent="0.2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 spans="1:27" x14ac:dyDescent="0.2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 spans="1:27" x14ac:dyDescent="0.2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 spans="1:27" x14ac:dyDescent="0.2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 spans="1:27" x14ac:dyDescent="0.2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 spans="1:27" x14ac:dyDescent="0.2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 spans="1:27" x14ac:dyDescent="0.2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 spans="1:27" x14ac:dyDescent="0.2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 spans="1:27" x14ac:dyDescent="0.2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 spans="1:27" x14ac:dyDescent="0.2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 spans="1:27" x14ac:dyDescent="0.2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 spans="1:27" x14ac:dyDescent="0.2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 spans="1:27" x14ac:dyDescent="0.2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 spans="1:27" x14ac:dyDescent="0.2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 spans="1:27" x14ac:dyDescent="0.2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 spans="1:27" x14ac:dyDescent="0.2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 spans="1:27" x14ac:dyDescent="0.2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 spans="1:27" x14ac:dyDescent="0.2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 spans="1:27" x14ac:dyDescent="0.2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 spans="1:27" x14ac:dyDescent="0.2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 spans="1:27" x14ac:dyDescent="0.2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 spans="1:27" x14ac:dyDescent="0.2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 spans="1:27" x14ac:dyDescent="0.2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 spans="1:27" x14ac:dyDescent="0.2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 spans="1:27" x14ac:dyDescent="0.2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 spans="1:27" x14ac:dyDescent="0.2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 spans="1:27" x14ac:dyDescent="0.2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 spans="1:27" x14ac:dyDescent="0.2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 spans="1:27" x14ac:dyDescent="0.2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 spans="1:27" x14ac:dyDescent="0.2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 spans="1:27" x14ac:dyDescent="0.2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 spans="1:27" x14ac:dyDescent="0.2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 spans="1:27" x14ac:dyDescent="0.2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 spans="1:27" x14ac:dyDescent="0.2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 spans="1:27" x14ac:dyDescent="0.2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 spans="1:27" x14ac:dyDescent="0.2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 spans="1:27" x14ac:dyDescent="0.2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 spans="1:27" x14ac:dyDescent="0.2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 spans="1:27" x14ac:dyDescent="0.2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 spans="1:27" x14ac:dyDescent="0.2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 spans="1:27" x14ac:dyDescent="0.2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 spans="1:27" x14ac:dyDescent="0.2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 spans="1:27" x14ac:dyDescent="0.2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 spans="1:27" x14ac:dyDescent="0.2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 spans="1:27" x14ac:dyDescent="0.2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 spans="1:27" x14ac:dyDescent="0.2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 spans="1:27" x14ac:dyDescent="0.2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 spans="1:27" x14ac:dyDescent="0.2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 spans="1:27" x14ac:dyDescent="0.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 spans="1:27" x14ac:dyDescent="0.2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 spans="1:27" x14ac:dyDescent="0.2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 spans="1:27" x14ac:dyDescent="0.2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 spans="1:27" x14ac:dyDescent="0.2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 spans="1:27" x14ac:dyDescent="0.2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 spans="1:27" x14ac:dyDescent="0.2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 spans="1:27" x14ac:dyDescent="0.2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 spans="1:27" x14ac:dyDescent="0.2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 spans="1:27" x14ac:dyDescent="0.2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 spans="1:27" x14ac:dyDescent="0.2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 spans="1:27" x14ac:dyDescent="0.2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 spans="1:27" x14ac:dyDescent="0.2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 spans="1:27" x14ac:dyDescent="0.2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 spans="1:27" x14ac:dyDescent="0.2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 spans="1:27" x14ac:dyDescent="0.2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 spans="1:27" x14ac:dyDescent="0.2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 spans="1:27" x14ac:dyDescent="0.2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 spans="1:27" x14ac:dyDescent="0.2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 spans="1:27" x14ac:dyDescent="0.2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 spans="1:27" x14ac:dyDescent="0.2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 spans="1:27" x14ac:dyDescent="0.2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 spans="1:27" x14ac:dyDescent="0.2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 spans="1:27" x14ac:dyDescent="0.2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 spans="1:27" x14ac:dyDescent="0.2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 spans="1:27" x14ac:dyDescent="0.2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 spans="1:27" x14ac:dyDescent="0.2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 spans="1:27" x14ac:dyDescent="0.2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 spans="1:27" x14ac:dyDescent="0.2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 spans="1:27" x14ac:dyDescent="0.2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 spans="1:27" x14ac:dyDescent="0.2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 spans="1:27" x14ac:dyDescent="0.2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 spans="1:27" x14ac:dyDescent="0.2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 spans="1:27" x14ac:dyDescent="0.2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 spans="1:27" x14ac:dyDescent="0.2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 spans="1:27" x14ac:dyDescent="0.2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 spans="1:27" x14ac:dyDescent="0.2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 spans="1:27" x14ac:dyDescent="0.2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 spans="1:27" x14ac:dyDescent="0.2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 spans="1:27" x14ac:dyDescent="0.2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 spans="1:27" x14ac:dyDescent="0.2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 spans="1:27" x14ac:dyDescent="0.2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 spans="1:27" x14ac:dyDescent="0.2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 spans="1:27" x14ac:dyDescent="0.2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 spans="1:27" x14ac:dyDescent="0.2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 spans="1:27" x14ac:dyDescent="0.2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 spans="1:27" x14ac:dyDescent="0.2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 spans="1:27" x14ac:dyDescent="0.2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 spans="1:27" x14ac:dyDescent="0.2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 spans="1:27" x14ac:dyDescent="0.2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 spans="1:27" x14ac:dyDescent="0.2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 spans="1:27" x14ac:dyDescent="0.2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 spans="1:27" x14ac:dyDescent="0.2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 spans="1:27" x14ac:dyDescent="0.2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 spans="1:27" x14ac:dyDescent="0.2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 spans="1:27" x14ac:dyDescent="0.2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 spans="1:27" x14ac:dyDescent="0.2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 spans="1:27" x14ac:dyDescent="0.2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 spans="1:27" x14ac:dyDescent="0.2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 spans="1:27" x14ac:dyDescent="0.2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 spans="1:27" x14ac:dyDescent="0.2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 spans="1:27" x14ac:dyDescent="0.2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 spans="1:27" x14ac:dyDescent="0.2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 spans="1:27" x14ac:dyDescent="0.2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 spans="1:27" x14ac:dyDescent="0.2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 spans="1:27" x14ac:dyDescent="0.2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 spans="1:27" x14ac:dyDescent="0.2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 spans="1:27" x14ac:dyDescent="0.2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 spans="1:27" x14ac:dyDescent="0.2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 spans="1:27" x14ac:dyDescent="0.2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 spans="1:27" x14ac:dyDescent="0.2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 spans="1:27" x14ac:dyDescent="0.2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 spans="1:27" x14ac:dyDescent="0.2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 spans="1:27" x14ac:dyDescent="0.2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 spans="1:27" x14ac:dyDescent="0.2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 spans="1:27" x14ac:dyDescent="0.2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 spans="1:27" x14ac:dyDescent="0.2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 spans="1:27" x14ac:dyDescent="0.2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 spans="1:27" x14ac:dyDescent="0.2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 spans="1:27" x14ac:dyDescent="0.2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 spans="1:27" x14ac:dyDescent="0.2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 spans="1:27" x14ac:dyDescent="0.2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 spans="1:27" x14ac:dyDescent="0.2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 spans="1:27" x14ac:dyDescent="0.2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 spans="1:27" x14ac:dyDescent="0.2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 spans="1:27" x14ac:dyDescent="0.2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 spans="1:27" x14ac:dyDescent="0.2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 spans="1:27" x14ac:dyDescent="0.2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 spans="1:27" x14ac:dyDescent="0.2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 spans="1:27" x14ac:dyDescent="0.2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 spans="1:27" x14ac:dyDescent="0.2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 spans="1:27" x14ac:dyDescent="0.2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 spans="1:27" x14ac:dyDescent="0.2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 spans="1:27" x14ac:dyDescent="0.2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 spans="1:27" x14ac:dyDescent="0.2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 spans="1:27" x14ac:dyDescent="0.2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 spans="1:27" x14ac:dyDescent="0.2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 spans="1:27" x14ac:dyDescent="0.2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 spans="1:27" x14ac:dyDescent="0.2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 spans="1:27" x14ac:dyDescent="0.2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 spans="1:27" x14ac:dyDescent="0.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 spans="1:27" x14ac:dyDescent="0.2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 spans="1:27" x14ac:dyDescent="0.2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 spans="1:27" x14ac:dyDescent="0.2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 spans="1:27" x14ac:dyDescent="0.2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 spans="1:27" x14ac:dyDescent="0.2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 spans="1:27" x14ac:dyDescent="0.2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 spans="1:27" x14ac:dyDescent="0.2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 spans="1:27" x14ac:dyDescent="0.2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 spans="1:27" x14ac:dyDescent="0.2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 spans="1:27" x14ac:dyDescent="0.2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 spans="1:27" x14ac:dyDescent="0.2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 spans="1:27" x14ac:dyDescent="0.2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 spans="1:27" x14ac:dyDescent="0.2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 spans="1:27" x14ac:dyDescent="0.2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 spans="1:27" x14ac:dyDescent="0.2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 spans="1:27" x14ac:dyDescent="0.2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 spans="1:27" x14ac:dyDescent="0.2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 spans="1:27" x14ac:dyDescent="0.2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 spans="1:27" x14ac:dyDescent="0.2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 spans="1:27" x14ac:dyDescent="0.2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 spans="1:27" x14ac:dyDescent="0.2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 spans="1:27" x14ac:dyDescent="0.2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 spans="1:27" x14ac:dyDescent="0.2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 spans="1:27" x14ac:dyDescent="0.2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 spans="1:27" x14ac:dyDescent="0.2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 spans="1:27" x14ac:dyDescent="0.2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 spans="1:27" x14ac:dyDescent="0.2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 spans="1:27" x14ac:dyDescent="0.2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 spans="1:27" x14ac:dyDescent="0.2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 spans="1:27" x14ac:dyDescent="0.2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 spans="1:27" x14ac:dyDescent="0.2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 spans="1:27" x14ac:dyDescent="0.2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 spans="1:27" x14ac:dyDescent="0.2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 spans="1:27" x14ac:dyDescent="0.2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 spans="1:27" x14ac:dyDescent="0.2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 spans="1:27" x14ac:dyDescent="0.2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 spans="1:27" x14ac:dyDescent="0.2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 spans="1:27" x14ac:dyDescent="0.2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 spans="1:27" x14ac:dyDescent="0.2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 spans="1:27" x14ac:dyDescent="0.2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 spans="1:27" x14ac:dyDescent="0.2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 spans="1:27" x14ac:dyDescent="0.2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 spans="1:27" x14ac:dyDescent="0.2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 spans="1:27" x14ac:dyDescent="0.2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 spans="1:27" x14ac:dyDescent="0.2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 spans="1:27" x14ac:dyDescent="0.2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 spans="1:27" x14ac:dyDescent="0.2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 spans="1:27" x14ac:dyDescent="0.2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 spans="1:27" x14ac:dyDescent="0.2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 spans="1:27" x14ac:dyDescent="0.2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 spans="1:27" x14ac:dyDescent="0.2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 spans="1:27" x14ac:dyDescent="0.2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 spans="1:27" x14ac:dyDescent="0.2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 spans="1:27" x14ac:dyDescent="0.2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 spans="1:27" x14ac:dyDescent="0.2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 spans="1:27" x14ac:dyDescent="0.2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 spans="1:27" x14ac:dyDescent="0.2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 spans="1:27" x14ac:dyDescent="0.2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 spans="1:27" x14ac:dyDescent="0.2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 spans="1:27" x14ac:dyDescent="0.2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 spans="1:27" x14ac:dyDescent="0.2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 spans="1:27" x14ac:dyDescent="0.2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 spans="1:27" x14ac:dyDescent="0.2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 spans="1:27" x14ac:dyDescent="0.2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 spans="1:27" x14ac:dyDescent="0.2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 spans="1:27" x14ac:dyDescent="0.2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 spans="1:27" x14ac:dyDescent="0.2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 spans="1:27" x14ac:dyDescent="0.2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 spans="1:27" x14ac:dyDescent="0.2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 spans="1:27" x14ac:dyDescent="0.2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 spans="1:27" x14ac:dyDescent="0.2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 spans="1:27" x14ac:dyDescent="0.2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 spans="1:27" x14ac:dyDescent="0.2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 spans="1:27" x14ac:dyDescent="0.2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 spans="1:27" x14ac:dyDescent="0.2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 spans="1:27" x14ac:dyDescent="0.2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 spans="1:27" x14ac:dyDescent="0.2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 spans="1:27" x14ac:dyDescent="0.2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 spans="1:27" x14ac:dyDescent="0.2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 spans="1:27" x14ac:dyDescent="0.2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 spans="1:27" x14ac:dyDescent="0.2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 spans="1:27" x14ac:dyDescent="0.2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 spans="1:27" x14ac:dyDescent="0.2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 spans="1:27" x14ac:dyDescent="0.2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 spans="1:27" x14ac:dyDescent="0.2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 spans="1:27" x14ac:dyDescent="0.2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 spans="1:27" x14ac:dyDescent="0.2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 spans="1:27" x14ac:dyDescent="0.2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 spans="1:27" x14ac:dyDescent="0.2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 spans="1:27" x14ac:dyDescent="0.2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 spans="1:27" x14ac:dyDescent="0.2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 spans="1:27" x14ac:dyDescent="0.2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 spans="1:27" x14ac:dyDescent="0.2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 spans="1:27" x14ac:dyDescent="0.2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 spans="1:27" x14ac:dyDescent="0.2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 spans="1:27" x14ac:dyDescent="0.2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 spans="1:27" x14ac:dyDescent="0.2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 spans="1:27" x14ac:dyDescent="0.2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 spans="1:27" x14ac:dyDescent="0.2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 spans="1:27" x14ac:dyDescent="0.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 spans="1:27" x14ac:dyDescent="0.2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 spans="1:27" x14ac:dyDescent="0.2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 spans="1:27" x14ac:dyDescent="0.2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 spans="1:27" x14ac:dyDescent="0.2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 spans="1:27" x14ac:dyDescent="0.2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 spans="1:27" x14ac:dyDescent="0.2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 spans="1:27" x14ac:dyDescent="0.2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 spans="1:27" x14ac:dyDescent="0.2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 spans="1:27" x14ac:dyDescent="0.2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 spans="1:27" x14ac:dyDescent="0.2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 spans="1:27" x14ac:dyDescent="0.2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 spans="1:27" x14ac:dyDescent="0.2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 spans="1:27" x14ac:dyDescent="0.2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 spans="1:27" x14ac:dyDescent="0.2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 spans="1:27" x14ac:dyDescent="0.2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 spans="1:27" x14ac:dyDescent="0.2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 spans="1:27" x14ac:dyDescent="0.2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 spans="1:27" x14ac:dyDescent="0.2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 spans="1:27" x14ac:dyDescent="0.2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 spans="1:27" x14ac:dyDescent="0.2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 spans="1:27" x14ac:dyDescent="0.2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 spans="1:27" x14ac:dyDescent="0.2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 spans="1:27" x14ac:dyDescent="0.2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 spans="1:27" x14ac:dyDescent="0.2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 spans="1:27" x14ac:dyDescent="0.2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 spans="1:27" x14ac:dyDescent="0.2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 spans="1:27" x14ac:dyDescent="0.2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 spans="1:27" x14ac:dyDescent="0.2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 spans="1:27" x14ac:dyDescent="0.2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 spans="1:27" x14ac:dyDescent="0.2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 spans="1:27" x14ac:dyDescent="0.2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 spans="1:27" x14ac:dyDescent="0.2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 spans="1:27" x14ac:dyDescent="0.2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 spans="1:27" x14ac:dyDescent="0.2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 spans="1:27" x14ac:dyDescent="0.2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 spans="1:27" x14ac:dyDescent="0.2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 spans="1:27" x14ac:dyDescent="0.2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 spans="1:27" x14ac:dyDescent="0.2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 spans="1:27" x14ac:dyDescent="0.2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 spans="1:27" x14ac:dyDescent="0.2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 spans="1:27" x14ac:dyDescent="0.2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 spans="1:27" x14ac:dyDescent="0.2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 spans="1:27" x14ac:dyDescent="0.2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 spans="1:27" x14ac:dyDescent="0.2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 spans="1:27" x14ac:dyDescent="0.2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 spans="1:27" x14ac:dyDescent="0.2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 spans="1:27" x14ac:dyDescent="0.2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 spans="1:27" x14ac:dyDescent="0.2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 spans="1:27" x14ac:dyDescent="0.2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 spans="1:27" x14ac:dyDescent="0.2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 spans="1:27" x14ac:dyDescent="0.2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 spans="1:27" x14ac:dyDescent="0.2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 spans="1:27" x14ac:dyDescent="0.2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 spans="1:27" x14ac:dyDescent="0.2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 spans="1:27" x14ac:dyDescent="0.2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 spans="1:27" x14ac:dyDescent="0.2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 spans="1:27" x14ac:dyDescent="0.2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 spans="1:27" x14ac:dyDescent="0.2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 spans="1:27" x14ac:dyDescent="0.2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 spans="1:27" x14ac:dyDescent="0.2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 spans="1:27" x14ac:dyDescent="0.2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 spans="1:27" x14ac:dyDescent="0.2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 spans="1:27" x14ac:dyDescent="0.2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 spans="1:27" x14ac:dyDescent="0.2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 spans="1:27" x14ac:dyDescent="0.2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 spans="1:27" x14ac:dyDescent="0.2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 spans="1:27" x14ac:dyDescent="0.2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 spans="1:27" x14ac:dyDescent="0.2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 spans="1:27" x14ac:dyDescent="0.2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 spans="1:27" x14ac:dyDescent="0.2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 spans="1:27" x14ac:dyDescent="0.2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 spans="1:27" x14ac:dyDescent="0.2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 spans="1:27" x14ac:dyDescent="0.2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 spans="1:27" x14ac:dyDescent="0.2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 spans="1:27" x14ac:dyDescent="0.2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  <row r="1001" spans="1:27" x14ac:dyDescent="0.25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</row>
    <row r="1002" spans="1:27" x14ac:dyDescent="0.25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</row>
    <row r="1003" spans="1:27" x14ac:dyDescent="0.25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</row>
    <row r="1004" spans="1:27" x14ac:dyDescent="0.25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</row>
    <row r="1005" spans="1:27" x14ac:dyDescent="0.2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</row>
    <row r="1006" spans="1:27" x14ac:dyDescent="0.25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</row>
    <row r="1007" spans="1:27" x14ac:dyDescent="0.25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</row>
    <row r="1008" spans="1:27" x14ac:dyDescent="0.25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</row>
    <row r="1009" spans="1:27" x14ac:dyDescent="0.25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</row>
    <row r="1010" spans="1:27" x14ac:dyDescent="0.25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</row>
    <row r="1011" spans="1:27" x14ac:dyDescent="0.25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</row>
    <row r="1012" spans="1:27" x14ac:dyDescent="0.25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</row>
    <row r="1013" spans="1:27" x14ac:dyDescent="0.25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</row>
    <row r="1014" spans="1:27" x14ac:dyDescent="0.25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</row>
    <row r="1015" spans="1:27" x14ac:dyDescent="0.2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</row>
    <row r="1016" spans="1:27" x14ac:dyDescent="0.25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</row>
    <row r="1017" spans="1:27" x14ac:dyDescent="0.25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</row>
    <row r="1018" spans="1:27" x14ac:dyDescent="0.25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</row>
    <row r="1019" spans="1:27" x14ac:dyDescent="0.25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</row>
    <row r="1020" spans="1:27" x14ac:dyDescent="0.25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</row>
    <row r="1021" spans="1:27" x14ac:dyDescent="0.25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</row>
    <row r="1022" spans="1:27" x14ac:dyDescent="0.25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</row>
    <row r="1023" spans="1:27" x14ac:dyDescent="0.25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</row>
    <row r="1024" spans="1:27" x14ac:dyDescent="0.25">
      <c r="A1024" s="46"/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</row>
    <row r="1025" spans="1:27" x14ac:dyDescent="0.25">
      <c r="A1025" s="46"/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</row>
    <row r="1026" spans="1:27" x14ac:dyDescent="0.25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</row>
    <row r="1027" spans="1:27" x14ac:dyDescent="0.25">
      <c r="A1027" s="46"/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</row>
    <row r="1028" spans="1:27" x14ac:dyDescent="0.25">
      <c r="A1028" s="46"/>
      <c r="B1028" s="46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</row>
    <row r="1029" spans="1:27" x14ac:dyDescent="0.25">
      <c r="A1029" s="46"/>
      <c r="B1029" s="46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</row>
    <row r="1030" spans="1:27" x14ac:dyDescent="0.25">
      <c r="A1030" s="46"/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</row>
    <row r="1031" spans="1:27" x14ac:dyDescent="0.25">
      <c r="A1031" s="46"/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</row>
    <row r="1032" spans="1:27" x14ac:dyDescent="0.25">
      <c r="A1032" s="46"/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</row>
    <row r="1033" spans="1:27" x14ac:dyDescent="0.25">
      <c r="A1033" s="46"/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</row>
    <row r="1034" spans="1:27" x14ac:dyDescent="0.25">
      <c r="A1034" s="46"/>
      <c r="B1034" s="46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</row>
    <row r="1035" spans="1:27" x14ac:dyDescent="0.25">
      <c r="A1035" s="46"/>
      <c r="B1035" s="46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</row>
    <row r="1036" spans="1:27" x14ac:dyDescent="0.25">
      <c r="A1036" s="46"/>
      <c r="B1036" s="46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</row>
    <row r="1037" spans="1:27" x14ac:dyDescent="0.25">
      <c r="A1037" s="46"/>
      <c r="B1037" s="46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</row>
    <row r="1038" spans="1:27" x14ac:dyDescent="0.25">
      <c r="A1038" s="46"/>
      <c r="B1038" s="46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</row>
    <row r="1039" spans="1:27" x14ac:dyDescent="0.25">
      <c r="A1039" s="46"/>
      <c r="B1039" s="46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</row>
    <row r="1040" spans="1:27" x14ac:dyDescent="0.25">
      <c r="A1040" s="46"/>
      <c r="B1040" s="46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</row>
    <row r="1041" spans="1:27" x14ac:dyDescent="0.25">
      <c r="A1041" s="46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</row>
    <row r="1042" spans="1:27" x14ac:dyDescent="0.25">
      <c r="A1042" s="46"/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</row>
    <row r="1043" spans="1:27" x14ac:dyDescent="0.25">
      <c r="A1043" s="46"/>
      <c r="B1043" s="46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</row>
    <row r="1044" spans="1:27" x14ac:dyDescent="0.25">
      <c r="A1044" s="46"/>
      <c r="B1044" s="46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</row>
    <row r="1045" spans="1:27" x14ac:dyDescent="0.25">
      <c r="A1045" s="46"/>
      <c r="B1045" s="46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</row>
    <row r="1046" spans="1:27" x14ac:dyDescent="0.25">
      <c r="A1046" s="46"/>
      <c r="B1046" s="46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</row>
    <row r="1047" spans="1:27" x14ac:dyDescent="0.25">
      <c r="A1047" s="46"/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</row>
    <row r="1048" spans="1:27" x14ac:dyDescent="0.25">
      <c r="A1048" s="46"/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</row>
    <row r="1049" spans="1:27" x14ac:dyDescent="0.25">
      <c r="A1049" s="46"/>
      <c r="B1049" s="46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</row>
    <row r="1050" spans="1:27" x14ac:dyDescent="0.25">
      <c r="A1050" s="46"/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</row>
    <row r="1051" spans="1:27" x14ac:dyDescent="0.25">
      <c r="A1051" s="46"/>
      <c r="B1051" s="46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</row>
    <row r="1052" spans="1:27" x14ac:dyDescent="0.25">
      <c r="A1052" s="46"/>
      <c r="B1052" s="46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</row>
    <row r="1053" spans="1:27" x14ac:dyDescent="0.25">
      <c r="A1053" s="46"/>
      <c r="B1053" s="46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</row>
    <row r="1054" spans="1:27" x14ac:dyDescent="0.25">
      <c r="A1054" s="46"/>
      <c r="B1054" s="46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</row>
    <row r="1055" spans="1:27" x14ac:dyDescent="0.25">
      <c r="A1055" s="46"/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</row>
    <row r="1056" spans="1:27" x14ac:dyDescent="0.25">
      <c r="A1056" s="46"/>
      <c r="B1056" s="46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</row>
    <row r="1057" spans="1:27" x14ac:dyDescent="0.25">
      <c r="A1057" s="46"/>
      <c r="B1057" s="46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</row>
    <row r="1058" spans="1:27" x14ac:dyDescent="0.25">
      <c r="A1058" s="46"/>
      <c r="B1058" s="46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</row>
    <row r="1059" spans="1:27" x14ac:dyDescent="0.25">
      <c r="A1059" s="46"/>
      <c r="B1059" s="46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</row>
    <row r="1060" spans="1:27" x14ac:dyDescent="0.25">
      <c r="A1060" s="46"/>
      <c r="B1060" s="46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</row>
    <row r="1061" spans="1:27" x14ac:dyDescent="0.25">
      <c r="A1061" s="46"/>
      <c r="B1061" s="46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</row>
    <row r="1062" spans="1:27" x14ac:dyDescent="0.25">
      <c r="A1062" s="46"/>
      <c r="B1062" s="46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</row>
    <row r="1063" spans="1:27" x14ac:dyDescent="0.25">
      <c r="A1063" s="46"/>
      <c r="B1063" s="46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</row>
    <row r="1064" spans="1:27" x14ac:dyDescent="0.25">
      <c r="A1064" s="46"/>
      <c r="B1064" s="46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</row>
    <row r="1065" spans="1:27" x14ac:dyDescent="0.25">
      <c r="A1065" s="46"/>
      <c r="B1065" s="46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</row>
    <row r="1066" spans="1:27" x14ac:dyDescent="0.25">
      <c r="A1066" s="46"/>
      <c r="B1066" s="46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</row>
    <row r="1067" spans="1:27" x14ac:dyDescent="0.25">
      <c r="A1067" s="46"/>
      <c r="B1067" s="46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</row>
    <row r="1068" spans="1:27" x14ac:dyDescent="0.25">
      <c r="A1068" s="46"/>
      <c r="B1068" s="46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</row>
    <row r="1069" spans="1:27" x14ac:dyDescent="0.25">
      <c r="A1069" s="46"/>
      <c r="B1069" s="46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</row>
    <row r="1070" spans="1:27" x14ac:dyDescent="0.25">
      <c r="A1070" s="46"/>
      <c r="B1070" s="46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</row>
    <row r="1071" spans="1:27" x14ac:dyDescent="0.25">
      <c r="A1071" s="46"/>
      <c r="B1071" s="46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</row>
    <row r="1072" spans="1:27" x14ac:dyDescent="0.25">
      <c r="A1072" s="46"/>
      <c r="B1072" s="46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</row>
    <row r="1073" spans="1:27" x14ac:dyDescent="0.25">
      <c r="A1073" s="46"/>
      <c r="B1073" s="46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</row>
    <row r="1074" spans="1:27" x14ac:dyDescent="0.25">
      <c r="A1074" s="46"/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</row>
    <row r="1075" spans="1:27" x14ac:dyDescent="0.25">
      <c r="A1075" s="46"/>
      <c r="B1075" s="46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</row>
    <row r="1076" spans="1:27" x14ac:dyDescent="0.25">
      <c r="A1076" s="46"/>
      <c r="B1076" s="46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</row>
    <row r="1077" spans="1:27" x14ac:dyDescent="0.25">
      <c r="A1077" s="46"/>
      <c r="B1077" s="46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</row>
    <row r="1078" spans="1:27" x14ac:dyDescent="0.25">
      <c r="A1078" s="46"/>
      <c r="B1078" s="46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</row>
    <row r="1079" spans="1:27" x14ac:dyDescent="0.25">
      <c r="A1079" s="46"/>
      <c r="B1079" s="46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</row>
    <row r="1080" spans="1:27" x14ac:dyDescent="0.25">
      <c r="A1080" s="46"/>
      <c r="B1080" s="46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</row>
    <row r="1081" spans="1:27" x14ac:dyDescent="0.25">
      <c r="A1081" s="46"/>
      <c r="B1081" s="46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</row>
    <row r="1082" spans="1:27" x14ac:dyDescent="0.25">
      <c r="A1082" s="46"/>
      <c r="B1082" s="46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</row>
    <row r="1083" spans="1:27" x14ac:dyDescent="0.25">
      <c r="A1083" s="46"/>
      <c r="B1083" s="46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</row>
    <row r="1084" spans="1:27" x14ac:dyDescent="0.25">
      <c r="A1084" s="46"/>
      <c r="B1084" s="46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</row>
    <row r="1085" spans="1:27" x14ac:dyDescent="0.25">
      <c r="A1085" s="46"/>
      <c r="B1085" s="46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</row>
    <row r="1086" spans="1:27" x14ac:dyDescent="0.25">
      <c r="A1086" s="46"/>
      <c r="B1086" s="46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</row>
    <row r="1087" spans="1:27" x14ac:dyDescent="0.25">
      <c r="A1087" s="46"/>
      <c r="B1087" s="46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</row>
    <row r="1088" spans="1:27" x14ac:dyDescent="0.25">
      <c r="A1088" s="46"/>
      <c r="B1088" s="46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</row>
    <row r="1089" spans="1:27" x14ac:dyDescent="0.25">
      <c r="A1089" s="46"/>
      <c r="B1089" s="46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</row>
    <row r="1090" spans="1:27" x14ac:dyDescent="0.25">
      <c r="A1090" s="46"/>
      <c r="B1090" s="46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</row>
    <row r="1091" spans="1:27" x14ac:dyDescent="0.25">
      <c r="A1091" s="46"/>
      <c r="B1091" s="46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</row>
    <row r="1092" spans="1:27" x14ac:dyDescent="0.25">
      <c r="A1092" s="46"/>
      <c r="B1092" s="46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</row>
    <row r="1093" spans="1:27" x14ac:dyDescent="0.25">
      <c r="A1093" s="46"/>
      <c r="B1093" s="46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</row>
    <row r="1094" spans="1:27" x14ac:dyDescent="0.25">
      <c r="A1094" s="46"/>
      <c r="B1094" s="46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</row>
    <row r="1095" spans="1:27" x14ac:dyDescent="0.25">
      <c r="A1095" s="46"/>
      <c r="B1095" s="46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</row>
    <row r="1096" spans="1:27" x14ac:dyDescent="0.25">
      <c r="A1096" s="46"/>
      <c r="B1096" s="46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</row>
    <row r="1097" spans="1:27" x14ac:dyDescent="0.25">
      <c r="A1097" s="46"/>
      <c r="B1097" s="46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</row>
    <row r="1098" spans="1:27" x14ac:dyDescent="0.25">
      <c r="A1098" s="46"/>
      <c r="B1098" s="46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</row>
    <row r="1099" spans="1:27" x14ac:dyDescent="0.25">
      <c r="A1099" s="46"/>
      <c r="B1099" s="46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</row>
    <row r="1100" spans="1:27" x14ac:dyDescent="0.25">
      <c r="A1100" s="46"/>
      <c r="B1100" s="46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</row>
    <row r="1101" spans="1:27" x14ac:dyDescent="0.25">
      <c r="A1101" s="46"/>
      <c r="B1101" s="46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</row>
    <row r="1102" spans="1:27" x14ac:dyDescent="0.25">
      <c r="A1102" s="46"/>
      <c r="B1102" s="46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</row>
    <row r="1103" spans="1:27" x14ac:dyDescent="0.25">
      <c r="A1103" s="46"/>
      <c r="B1103" s="46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</row>
  </sheetData>
  <autoFilter ref="A1:AG445" xr:uid="{58757BD2-3D7E-4499-A19E-F39A02AC9CAA}"/>
  <phoneticPr fontId="8" type="noConversion"/>
  <conditionalFormatting sqref="G1">
    <cfRule type="cellIs" dxfId="0" priority="1" operator="equal">
      <formula>"-"</formula>
    </cfRule>
  </conditionalFormatting>
  <dataValidations count="2">
    <dataValidation type="list" allowBlank="1" showInputMessage="1" showErrorMessage="1" sqref="L83:L104 L106:L109 L143:L144" xr:uid="{31C93473-3C7F-48ED-8906-D9AAA41A1E78}">
      <formula1>$J$2:$J$10</formula1>
    </dataValidation>
    <dataValidation type="list" showInputMessage="1" showErrorMessage="1" sqref="M208:M209 M215:M217 M262:M263 AD231:AD237 AD229 M228:M236 AD239:AD241 M239:M241 M245:M246 AD245:AD246 M251 AD251 M253 AD253 AD262:AD263 M269 AD269:AD271 M271 AD273 M273 M276 AD276 M306 AD306 M2:M145" xr:uid="{6F20FCEE-A726-49DF-B3A9-76837C7F055A}">
      <formula1>INDIRECT($L2)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7FCD21F-23A0-4803-8BA9-7072D50FAEE1}">
          <x14:formula1>
            <xm:f>Tanımlar!$F$1:$I$1</xm:f>
          </x14:formula1>
          <xm:sqref>L2:L9 AC219:AC237 L208:L237 AC240:AC241 L241 AC245:AC246 L245:L246 AC248:AC250 L248:L250 L253 AC253 AC262:AC271 L262:L271 AC273 L273 AC275:AC276 L275:L276 AC279:AC301 L279:L301 L303 AC303 L305:L307 AC305:AC307 L309:L314 AC309:AC314 AC318 L318 L320 AC320 L322:L324 AC322:AC324 L327:L329 AC327:AC329 AC334:AC341 L334 L336:L341 AC344:AC345 L344:L345 L353:L355 AC353:AC355 L360 AC360 L362:L364 AC362:AC364 L366 AC366 AC377:AC378 L377:L378 L381 AC381 L383 AC383 L12:L144</xm:sqref>
        </x14:dataValidation>
        <x14:dataValidation type="list" allowBlank="1" showInputMessage="1" showErrorMessage="1" xr:uid="{D68D63C0-5CA3-49B7-B375-3CA415D8E44C}">
          <x14:formula1>
            <xm:f>Tanımlar!$C$2:$C$7</xm:f>
          </x14:formula1>
          <xm:sqref>D12:D16 D18:D67 D206:D386 D396:D401 D420:D425 D69:D142 D427:D445</xm:sqref>
        </x14:dataValidation>
        <x14:dataValidation type="list" allowBlank="1" showInputMessage="1" showErrorMessage="1" xr:uid="{48DB2D87-B5F1-4EA3-90E8-36A1CB9C42C5}">
          <x14:formula1>
            <xm:f>Tanımlar!$O$2:$O$3</xm:f>
          </x14:formula1>
          <xm:sqref>Z12:Z16 Z41:Z42 Z46 Z212 Z50:Z67 Z188:Z208 Z216:Z217 Z220:Z291 Z301:Z318 Z320:Z336 Z338:Z339 Z344:Z366 Z75:Z185</xm:sqref>
        </x14:dataValidation>
        <x14:dataValidation type="list" allowBlank="1" showInputMessage="1" showErrorMessage="1" xr:uid="{BD71A68B-EA45-4A14-AA37-3564468B4E66}">
          <x14:formula1>
            <xm:f>Tanımlar!$P$2:$P$5</xm:f>
          </x14:formula1>
          <xm:sqref>AA41:AD42 AA46:AD46 AA216:AD217 AA208:AD208 AA50:AD67 AB218:AD218 AA220:AA291 AA301:AA318 AA320:AA336 AA338:AA339 AA344:AA366 AA75:AD143</xm:sqref>
        </x14:dataValidation>
        <x14:dataValidation type="list" allowBlank="1" showInputMessage="1" showErrorMessage="1" xr:uid="{4520994D-7F6D-4609-8B80-681A9BE8DF85}">
          <x14:formula1>
            <xm:f>Tanımlar!$L$2:$L$11</xm:f>
          </x14:formula1>
          <xm:sqref>R206:R208 R17:R142 R215:R455</xm:sqref>
        </x14:dataValidation>
        <x14:dataValidation type="list" allowBlank="1" showInputMessage="1" showErrorMessage="1" xr:uid="{9D1149CB-7F5F-4955-BACF-1FD96D966322}">
          <x14:formula1>
            <xm:f>Tanımlar!$K$2:$K$9</xm:f>
          </x14:formula1>
          <xm:sqref>P316:P317 P26 P372:P375 P383:P384 P20 P212 P355 P426 P331:P336 P345:P349 P40 P77 P90:P91 P93:P94 P86 P65:P66 P112 P106:P109 P98:P100 P161:P162 P145 P158 P175 P178 P188 P191:P193 P181:P183 P201:P208 P38 P79:P81 P50 P164 P377:P378 P381 P366:P367 P393 P196:P197 P244:P253 P265:P267 P235:P236 P261 P273:P277 P320:P323 P329 P68:P75 P83 P96 P102:P104 P148:P153 P169:P172 P216:P217 P219:P224 P238:P239 P241 P280:P281 P283:P285 P288:P301 P303:P305 P308:P311 P116:P143 P228:P231 P233 P270 P313:P314 P327 P338:P339 P352 P361:P364</xm:sqref>
        </x14:dataValidation>
        <x14:dataValidation type="list" allowBlank="1" showInputMessage="1" showErrorMessage="1" xr:uid="{079721ED-2276-454A-8414-CAC5348A8D39}">
          <x14:formula1>
            <xm:f>Tanımlar!$J$2:$J$26</xm:f>
          </x14:formula1>
          <xm:sqref>K24 K26 K41:K45 K49:K62 AB219:AB236 K208:K237 AB239:AB240 K239:K240 AB243:AB247 AB249:AB252 K243:K252 K254:K255 AB254:AB255 AB264:AB268 K264:K268 K270 AB275 AB277 K275:K277 AB279:AB301 K279:K301 K303 AB303 K305:K306 AB305:AB306 AB308:AB309 K308:K309 AB312:AB314 K312:K314 AB317 K317 AB320:AB321 K320:K321 AB329:AB333 K329:K334 AB340:AB341 K340:K341 AB344 K344 AB353:AB356 K353:K356 AB358:AB364 K358:K364 AB367:AB376 K367:K376 AB378:AB381 K378:K381 K64:K142</xm:sqref>
        </x14:dataValidation>
        <x14:dataValidation type="list" allowBlank="1" showInputMessage="1" showErrorMessage="1" xr:uid="{C6D1B718-B895-43F6-A44C-9E8168172325}">
          <x14:formula1>
            <xm:f>Tanımlar!$Q$2:$Q$3</xm:f>
          </x14:formula1>
          <xm:sqref>Q208 Q215</xm:sqref>
        </x14:dataValidation>
        <x14:dataValidation type="list" allowBlank="1" showInputMessage="1" showErrorMessage="1" xr:uid="{B36D7C28-CBF2-4649-8A7B-4BC356EDECC0}">
          <x14:formula1>
            <xm:f>Tanımlar!$M$2:$M$3</xm:f>
          </x14:formula1>
          <xm:sqref>S219:S230 S232:S237 S240:S247 S251:S260 S262:S263 S269 S271:S274 S355 S276:S345 S364 S381 S393</xm:sqref>
        </x14:dataValidation>
        <x14:dataValidation type="list" operator="equal" showInputMessage="1" showErrorMessage="1" xr:uid="{ED8743A8-D9C6-4280-8757-70D86E9C72EE}">
          <x14:formula1>
            <xm:f>Tanımlar!$A$2:$A$5</xm:f>
          </x14:formula1>
          <xm:sqref>A2:A433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DC5E-32C2-4566-A633-A1218E9458A2}">
  <dimension ref="A1:Q26"/>
  <sheetViews>
    <sheetView zoomScale="90" zoomScaleNormal="90" workbookViewId="0">
      <selection activeCell="G13" sqref="G13"/>
    </sheetView>
  </sheetViews>
  <sheetFormatPr defaultRowHeight="15" x14ac:dyDescent="0.25"/>
  <cols>
    <col min="1" max="1" width="14" bestFit="1" customWidth="1"/>
    <col min="2" max="2" width="11.5703125" bestFit="1" customWidth="1"/>
    <col min="3" max="3" width="11.5703125" customWidth="1"/>
    <col min="4" max="4" width="19.28515625" customWidth="1"/>
    <col min="5" max="5" width="20.5703125" bestFit="1" customWidth="1"/>
    <col min="6" max="6" width="45.7109375" customWidth="1"/>
    <col min="7" max="7" width="50.7109375" bestFit="1" customWidth="1"/>
    <col min="8" max="8" width="51.42578125" customWidth="1"/>
    <col min="9" max="9" width="38.28515625" bestFit="1" customWidth="1"/>
    <col min="10" max="10" width="23.28515625" bestFit="1" customWidth="1"/>
    <col min="11" max="11" width="25.28515625" bestFit="1" customWidth="1"/>
    <col min="12" max="12" width="24.42578125" bestFit="1" customWidth="1"/>
    <col min="13" max="13" width="19.7109375" bestFit="1" customWidth="1"/>
    <col min="14" max="14" width="13.7109375" bestFit="1" customWidth="1"/>
    <col min="15" max="15" width="15.28515625" customWidth="1"/>
    <col min="16" max="16" width="24.7109375" bestFit="1" customWidth="1"/>
    <col min="17" max="17" width="19.42578125" customWidth="1"/>
  </cols>
  <sheetData>
    <row r="1" spans="1:17" ht="25.5" x14ac:dyDescent="0.25">
      <c r="A1" t="s">
        <v>0</v>
      </c>
      <c r="B1" t="s">
        <v>2</v>
      </c>
      <c r="C1" t="s">
        <v>98</v>
      </c>
      <c r="D1" t="s">
        <v>102</v>
      </c>
      <c r="E1" t="s">
        <v>48</v>
      </c>
      <c r="F1" t="s">
        <v>97</v>
      </c>
      <c r="G1" t="s">
        <v>96</v>
      </c>
      <c r="H1" t="s">
        <v>41</v>
      </c>
      <c r="I1" t="s">
        <v>47</v>
      </c>
      <c r="J1" t="s">
        <v>74</v>
      </c>
      <c r="K1" t="s">
        <v>4</v>
      </c>
      <c r="L1" t="s">
        <v>5</v>
      </c>
      <c r="M1" t="s">
        <v>6</v>
      </c>
      <c r="N1" t="s">
        <v>7</v>
      </c>
      <c r="O1" s="6" t="s">
        <v>697</v>
      </c>
      <c r="P1" s="6" t="s">
        <v>698</v>
      </c>
      <c r="Q1" s="3" t="s">
        <v>723</v>
      </c>
    </row>
    <row r="2" spans="1:17" x14ac:dyDescent="0.25">
      <c r="A2" t="s">
        <v>11</v>
      </c>
      <c r="B2" t="s">
        <v>18</v>
      </c>
      <c r="C2" t="s">
        <v>12</v>
      </c>
      <c r="D2" t="s">
        <v>103</v>
      </c>
      <c r="E2" t="s">
        <v>99</v>
      </c>
      <c r="F2" t="s">
        <v>21</v>
      </c>
      <c r="G2" t="s">
        <v>28</v>
      </c>
      <c r="H2" t="s">
        <v>42</v>
      </c>
      <c r="I2" t="s">
        <v>603</v>
      </c>
      <c r="J2" t="s">
        <v>49</v>
      </c>
      <c r="K2" t="s">
        <v>77</v>
      </c>
      <c r="L2" t="s">
        <v>82</v>
      </c>
      <c r="M2" t="s">
        <v>92</v>
      </c>
      <c r="N2" t="s">
        <v>94</v>
      </c>
      <c r="O2" t="s">
        <v>94</v>
      </c>
      <c r="P2" t="s">
        <v>617</v>
      </c>
      <c r="Q2" t="s">
        <v>724</v>
      </c>
    </row>
    <row r="3" spans="1:17" x14ac:dyDescent="0.25">
      <c r="A3" t="s">
        <v>8</v>
      </c>
      <c r="B3" t="s">
        <v>19</v>
      </c>
      <c r="C3" t="s">
        <v>13</v>
      </c>
      <c r="D3" t="s">
        <v>104</v>
      </c>
      <c r="E3" t="s">
        <v>100</v>
      </c>
      <c r="F3" t="s">
        <v>22</v>
      </c>
      <c r="G3" t="s">
        <v>29</v>
      </c>
      <c r="H3" t="s">
        <v>43</v>
      </c>
      <c r="I3" t="s">
        <v>604</v>
      </c>
      <c r="J3" t="s">
        <v>50</v>
      </c>
      <c r="K3" t="s">
        <v>80</v>
      </c>
      <c r="L3" t="s">
        <v>83</v>
      </c>
      <c r="M3" t="s">
        <v>93</v>
      </c>
      <c r="N3" t="s">
        <v>95</v>
      </c>
      <c r="O3" t="s">
        <v>95</v>
      </c>
      <c r="P3" t="s">
        <v>615</v>
      </c>
      <c r="Q3" t="s">
        <v>725</v>
      </c>
    </row>
    <row r="4" spans="1:17" x14ac:dyDescent="0.25">
      <c r="A4" t="s">
        <v>9</v>
      </c>
      <c r="B4" t="s">
        <v>20</v>
      </c>
      <c r="C4" t="s">
        <v>14</v>
      </c>
      <c r="D4" t="s">
        <v>103</v>
      </c>
      <c r="E4" t="s">
        <v>101</v>
      </c>
      <c r="F4" t="s">
        <v>23</v>
      </c>
      <c r="G4" t="s">
        <v>30</v>
      </c>
      <c r="H4" t="s">
        <v>44</v>
      </c>
      <c r="I4" t="s">
        <v>605</v>
      </c>
      <c r="J4" t="s">
        <v>51</v>
      </c>
      <c r="K4" t="s">
        <v>81</v>
      </c>
      <c r="L4" t="s">
        <v>84</v>
      </c>
      <c r="P4" t="s">
        <v>616</v>
      </c>
    </row>
    <row r="5" spans="1:17" x14ac:dyDescent="0.25">
      <c r="A5" t="s">
        <v>10</v>
      </c>
      <c r="C5" t="s">
        <v>15</v>
      </c>
      <c r="D5" t="s">
        <v>104</v>
      </c>
      <c r="F5" t="s">
        <v>24</v>
      </c>
      <c r="G5" t="s">
        <v>31</v>
      </c>
      <c r="H5" t="s">
        <v>45</v>
      </c>
      <c r="J5" t="s">
        <v>52</v>
      </c>
      <c r="K5" t="s">
        <v>75</v>
      </c>
      <c r="L5" t="s">
        <v>85</v>
      </c>
      <c r="P5" t="s">
        <v>618</v>
      </c>
    </row>
    <row r="6" spans="1:17" x14ac:dyDescent="0.25">
      <c r="C6" t="s">
        <v>16</v>
      </c>
      <c r="D6" t="s">
        <v>103</v>
      </c>
      <c r="F6" t="s">
        <v>25</v>
      </c>
      <c r="G6" t="s">
        <v>32</v>
      </c>
      <c r="H6" t="s">
        <v>46</v>
      </c>
      <c r="J6" t="s">
        <v>53</v>
      </c>
      <c r="K6" t="s">
        <v>76</v>
      </c>
      <c r="L6" t="s">
        <v>86</v>
      </c>
    </row>
    <row r="7" spans="1:17" x14ac:dyDescent="0.25">
      <c r="C7" t="s">
        <v>17</v>
      </c>
      <c r="D7" t="s">
        <v>104</v>
      </c>
      <c r="F7" t="s">
        <v>26</v>
      </c>
      <c r="G7" t="s">
        <v>33</v>
      </c>
      <c r="J7" t="s">
        <v>54</v>
      </c>
      <c r="K7" t="s">
        <v>78</v>
      </c>
      <c r="L7" t="s">
        <v>87</v>
      </c>
    </row>
    <row r="8" spans="1:17" x14ac:dyDescent="0.25">
      <c r="F8" t="s">
        <v>27</v>
      </c>
      <c r="G8" t="s">
        <v>34</v>
      </c>
      <c r="J8" t="s">
        <v>55</v>
      </c>
      <c r="K8" t="s">
        <v>79</v>
      </c>
      <c r="L8" t="s">
        <v>88</v>
      </c>
    </row>
    <row r="9" spans="1:17" x14ac:dyDescent="0.25">
      <c r="F9" t="s">
        <v>612</v>
      </c>
      <c r="G9" t="s">
        <v>35</v>
      </c>
      <c r="J9" t="s">
        <v>56</v>
      </c>
      <c r="K9" t="s">
        <v>954</v>
      </c>
      <c r="L9" t="s">
        <v>89</v>
      </c>
    </row>
    <row r="10" spans="1:17" x14ac:dyDescent="0.25">
      <c r="F10" t="s">
        <v>613</v>
      </c>
      <c r="G10" t="s">
        <v>36</v>
      </c>
      <c r="J10" t="s">
        <v>57</v>
      </c>
      <c r="L10" t="s">
        <v>90</v>
      </c>
    </row>
    <row r="11" spans="1:17" x14ac:dyDescent="0.25">
      <c r="F11" s="7" t="s">
        <v>734</v>
      </c>
      <c r="G11" t="s">
        <v>37</v>
      </c>
      <c r="J11" t="s">
        <v>58</v>
      </c>
      <c r="L11" t="s">
        <v>91</v>
      </c>
    </row>
    <row r="12" spans="1:17" x14ac:dyDescent="0.25">
      <c r="G12" t="s">
        <v>38</v>
      </c>
      <c r="J12" t="s">
        <v>59</v>
      </c>
    </row>
    <row r="13" spans="1:17" x14ac:dyDescent="0.25">
      <c r="G13" t="s">
        <v>39</v>
      </c>
      <c r="J13" t="s">
        <v>60</v>
      </c>
    </row>
    <row r="14" spans="1:17" x14ac:dyDescent="0.25">
      <c r="G14" t="s">
        <v>40</v>
      </c>
      <c r="J14" t="s">
        <v>61</v>
      </c>
    </row>
    <row r="15" spans="1:17" x14ac:dyDescent="0.25">
      <c r="J15" t="s">
        <v>62</v>
      </c>
    </row>
    <row r="16" spans="1:17" x14ac:dyDescent="0.25">
      <c r="J16" t="s">
        <v>63</v>
      </c>
    </row>
    <row r="17" spans="10:10" x14ac:dyDescent="0.25">
      <c r="J17" t="s">
        <v>64</v>
      </c>
    </row>
    <row r="18" spans="10:10" x14ac:dyDescent="0.25">
      <c r="J18" t="s">
        <v>65</v>
      </c>
    </row>
    <row r="19" spans="10:10" x14ac:dyDescent="0.25">
      <c r="J19" t="s">
        <v>66</v>
      </c>
    </row>
    <row r="20" spans="10:10" x14ac:dyDescent="0.25">
      <c r="J20" t="s">
        <v>67</v>
      </c>
    </row>
    <row r="21" spans="10:10" x14ac:dyDescent="0.25">
      <c r="J21" t="s">
        <v>68</v>
      </c>
    </row>
    <row r="22" spans="10:10" x14ac:dyDescent="0.25">
      <c r="J22" t="s">
        <v>69</v>
      </c>
    </row>
    <row r="23" spans="10:10" x14ac:dyDescent="0.25">
      <c r="J23" t="s">
        <v>70</v>
      </c>
    </row>
    <row r="24" spans="10:10" x14ac:dyDescent="0.25">
      <c r="J24" t="s">
        <v>71</v>
      </c>
    </row>
    <row r="25" spans="10:10" x14ac:dyDescent="0.25">
      <c r="J25" t="s">
        <v>72</v>
      </c>
    </row>
    <row r="26" spans="10:10" x14ac:dyDescent="0.25">
      <c r="J26" t="s">
        <v>73</v>
      </c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A372-E7B2-48A7-9871-ED72657265CB}">
  <dimension ref="A1:F619"/>
  <sheetViews>
    <sheetView topLeftCell="A604" workbookViewId="0">
      <selection activeCell="C619" sqref="C619"/>
    </sheetView>
  </sheetViews>
  <sheetFormatPr defaultColWidth="8.7109375" defaultRowHeight="11.25" x14ac:dyDescent="0.2"/>
  <cols>
    <col min="1" max="1" width="8.7109375" style="5"/>
    <col min="2" max="2" width="24.28515625" style="5" bestFit="1" customWidth="1"/>
    <col min="3" max="3" width="19.85546875" style="5" customWidth="1"/>
    <col min="4" max="4" width="8.7109375" style="5"/>
    <col min="5" max="5" width="14.140625" style="5" customWidth="1"/>
    <col min="6" max="6" width="14.28515625" style="1" bestFit="1" customWidth="1"/>
    <col min="7" max="16384" width="8.7109375" style="1"/>
  </cols>
  <sheetData>
    <row r="1" spans="1:6" x14ac:dyDescent="0.2">
      <c r="A1" s="4" t="s">
        <v>601</v>
      </c>
      <c r="B1" s="4" t="s">
        <v>105</v>
      </c>
      <c r="C1" s="4" t="s">
        <v>99</v>
      </c>
      <c r="D1" s="4" t="s">
        <v>600</v>
      </c>
      <c r="E1" s="4" t="s">
        <v>602</v>
      </c>
      <c r="F1" s="2" t="s">
        <v>607</v>
      </c>
    </row>
    <row r="2" spans="1:6" x14ac:dyDescent="0.2">
      <c r="A2" s="5">
        <v>210372</v>
      </c>
      <c r="B2" s="5" t="s">
        <v>676</v>
      </c>
      <c r="C2" s="5" t="s">
        <v>106</v>
      </c>
      <c r="D2" s="5" t="s">
        <v>18</v>
      </c>
      <c r="E2" s="5" t="s">
        <v>695</v>
      </c>
      <c r="F2" s="5" t="s">
        <v>699</v>
      </c>
    </row>
    <row r="3" spans="1:6" x14ac:dyDescent="0.2">
      <c r="A3" s="5">
        <v>110558</v>
      </c>
      <c r="B3" s="5" t="s">
        <v>114</v>
      </c>
      <c r="C3" s="5" t="s">
        <v>106</v>
      </c>
      <c r="D3" s="5" t="s">
        <v>18</v>
      </c>
      <c r="E3" s="5" t="s">
        <v>695</v>
      </c>
      <c r="F3" s="5" t="s">
        <v>699</v>
      </c>
    </row>
    <row r="4" spans="1:6" x14ac:dyDescent="0.2">
      <c r="A4" s="5">
        <v>210043</v>
      </c>
      <c r="B4" s="5" t="s">
        <v>109</v>
      </c>
      <c r="C4" s="5" t="s">
        <v>106</v>
      </c>
      <c r="D4" s="5" t="s">
        <v>18</v>
      </c>
      <c r="E4" s="5" t="s">
        <v>695</v>
      </c>
      <c r="F4" s="5" t="s">
        <v>699</v>
      </c>
    </row>
    <row r="5" spans="1:6" x14ac:dyDescent="0.2">
      <c r="A5" s="5">
        <v>210131</v>
      </c>
      <c r="B5" s="5" t="s">
        <v>108</v>
      </c>
      <c r="C5" s="5" t="s">
        <v>106</v>
      </c>
      <c r="D5" s="5" t="s">
        <v>18</v>
      </c>
      <c r="E5" s="5" t="s">
        <v>99</v>
      </c>
      <c r="F5" s="5" t="s">
        <v>699</v>
      </c>
    </row>
    <row r="6" spans="1:6" x14ac:dyDescent="0.2">
      <c r="A6" s="5">
        <v>210171</v>
      </c>
      <c r="B6" s="5" t="s">
        <v>115</v>
      </c>
      <c r="C6" s="5" t="s">
        <v>106</v>
      </c>
      <c r="D6" s="5" t="s">
        <v>18</v>
      </c>
      <c r="E6" s="5" t="s">
        <v>695</v>
      </c>
      <c r="F6" s="5" t="s">
        <v>699</v>
      </c>
    </row>
    <row r="7" spans="1:6" x14ac:dyDescent="0.2">
      <c r="A7" s="5">
        <v>210138</v>
      </c>
      <c r="B7" s="5" t="s">
        <v>222</v>
      </c>
      <c r="C7" s="5" t="s">
        <v>106</v>
      </c>
      <c r="D7" s="5" t="s">
        <v>18</v>
      </c>
      <c r="E7" s="5" t="s">
        <v>695</v>
      </c>
      <c r="F7" s="5" t="s">
        <v>699</v>
      </c>
    </row>
    <row r="8" spans="1:6" x14ac:dyDescent="0.2">
      <c r="A8" s="5">
        <v>110466</v>
      </c>
      <c r="B8" s="5" t="s">
        <v>201</v>
      </c>
      <c r="C8" s="5" t="s">
        <v>106</v>
      </c>
      <c r="D8" s="5" t="s">
        <v>18</v>
      </c>
      <c r="E8" s="5" t="s">
        <v>695</v>
      </c>
      <c r="F8" s="5" t="s">
        <v>699</v>
      </c>
    </row>
    <row r="9" spans="1:6" x14ac:dyDescent="0.2">
      <c r="A9" s="5">
        <v>210034</v>
      </c>
      <c r="B9" s="5" t="s">
        <v>120</v>
      </c>
      <c r="C9" s="5" t="s">
        <v>106</v>
      </c>
      <c r="D9" s="5" t="s">
        <v>18</v>
      </c>
      <c r="E9" s="5" t="s">
        <v>695</v>
      </c>
      <c r="F9" s="5" t="s">
        <v>699</v>
      </c>
    </row>
    <row r="10" spans="1:6" x14ac:dyDescent="0.2">
      <c r="A10" s="5">
        <v>110287</v>
      </c>
      <c r="B10" s="5" t="s">
        <v>112</v>
      </c>
      <c r="C10" s="5" t="s">
        <v>106</v>
      </c>
      <c r="D10" s="5" t="s">
        <v>18</v>
      </c>
      <c r="E10" s="5" t="s">
        <v>695</v>
      </c>
      <c r="F10" s="5" t="s">
        <v>699</v>
      </c>
    </row>
    <row r="11" spans="1:6" x14ac:dyDescent="0.2">
      <c r="A11" s="5">
        <v>110286</v>
      </c>
      <c r="B11" s="5" t="s">
        <v>123</v>
      </c>
      <c r="C11" s="5" t="s">
        <v>106</v>
      </c>
      <c r="D11" s="5" t="s">
        <v>18</v>
      </c>
      <c r="E11" s="5" t="s">
        <v>99</v>
      </c>
      <c r="F11" s="5" t="s">
        <v>699</v>
      </c>
    </row>
    <row r="12" spans="1:6" x14ac:dyDescent="0.2">
      <c r="A12" s="5">
        <v>210053</v>
      </c>
      <c r="B12" s="5" t="s">
        <v>111</v>
      </c>
      <c r="C12" s="5" t="s">
        <v>106</v>
      </c>
      <c r="D12" s="5" t="s">
        <v>18</v>
      </c>
      <c r="E12" s="5" t="s">
        <v>695</v>
      </c>
      <c r="F12" s="5" t="s">
        <v>699</v>
      </c>
    </row>
    <row r="13" spans="1:6" x14ac:dyDescent="0.2">
      <c r="A13" s="5">
        <v>210114</v>
      </c>
      <c r="B13" s="5" t="s">
        <v>116</v>
      </c>
      <c r="C13" s="5" t="s">
        <v>106</v>
      </c>
      <c r="D13" s="5" t="s">
        <v>18</v>
      </c>
      <c r="E13" s="5" t="s">
        <v>695</v>
      </c>
      <c r="F13" s="5" t="s">
        <v>699</v>
      </c>
    </row>
    <row r="14" spans="1:6" x14ac:dyDescent="0.2">
      <c r="A14" s="5">
        <v>210423</v>
      </c>
      <c r="B14" s="5" t="s">
        <v>121</v>
      </c>
      <c r="C14" s="5" t="s">
        <v>106</v>
      </c>
      <c r="D14" s="5" t="s">
        <v>18</v>
      </c>
      <c r="E14" s="5" t="s">
        <v>695</v>
      </c>
      <c r="F14" s="5" t="s">
        <v>699</v>
      </c>
    </row>
    <row r="15" spans="1:6" x14ac:dyDescent="0.2">
      <c r="A15" s="5">
        <v>110860</v>
      </c>
      <c r="B15" s="5" t="s">
        <v>119</v>
      </c>
      <c r="C15" s="5" t="s">
        <v>106</v>
      </c>
      <c r="D15" s="5" t="s">
        <v>18</v>
      </c>
      <c r="E15" s="5" t="s">
        <v>695</v>
      </c>
      <c r="F15" s="5" t="s">
        <v>699</v>
      </c>
    </row>
    <row r="16" spans="1:6" x14ac:dyDescent="0.2">
      <c r="A16" s="5">
        <v>110828</v>
      </c>
      <c r="B16" s="5" t="s">
        <v>107</v>
      </c>
      <c r="C16" s="5" t="s">
        <v>106</v>
      </c>
      <c r="D16" s="5" t="s">
        <v>18</v>
      </c>
      <c r="E16" s="5" t="s">
        <v>695</v>
      </c>
      <c r="F16" s="5" t="s">
        <v>699</v>
      </c>
    </row>
    <row r="17" spans="1:6" x14ac:dyDescent="0.2">
      <c r="A17" s="5">
        <v>110391</v>
      </c>
      <c r="B17" s="5" t="s">
        <v>118</v>
      </c>
      <c r="C17" s="5" t="s">
        <v>106</v>
      </c>
      <c r="D17" s="5" t="s">
        <v>18</v>
      </c>
      <c r="E17" s="5" t="s">
        <v>695</v>
      </c>
      <c r="F17" s="5" t="s">
        <v>699</v>
      </c>
    </row>
    <row r="18" spans="1:6" x14ac:dyDescent="0.2">
      <c r="A18" s="5">
        <v>110390</v>
      </c>
      <c r="B18" s="5" t="s">
        <v>113</v>
      </c>
      <c r="C18" s="5" t="s">
        <v>106</v>
      </c>
      <c r="D18" s="5" t="s">
        <v>18</v>
      </c>
      <c r="E18" s="5" t="s">
        <v>695</v>
      </c>
      <c r="F18" s="5" t="s">
        <v>699</v>
      </c>
    </row>
    <row r="19" spans="1:6" x14ac:dyDescent="0.2">
      <c r="A19" s="5">
        <v>210015</v>
      </c>
      <c r="B19" s="5" t="s">
        <v>738</v>
      </c>
      <c r="C19" s="5" t="s">
        <v>106</v>
      </c>
      <c r="D19" s="5" t="s">
        <v>18</v>
      </c>
      <c r="E19" s="5" t="s">
        <v>695</v>
      </c>
      <c r="F19" s="5" t="s">
        <v>699</v>
      </c>
    </row>
    <row r="20" spans="1:6" x14ac:dyDescent="0.2">
      <c r="A20" s="5">
        <v>210183</v>
      </c>
      <c r="B20" s="5" t="s">
        <v>110</v>
      </c>
      <c r="C20" s="5" t="s">
        <v>106</v>
      </c>
      <c r="D20" s="5" t="s">
        <v>18</v>
      </c>
      <c r="E20" s="5" t="s">
        <v>695</v>
      </c>
      <c r="F20" s="5" t="s">
        <v>699</v>
      </c>
    </row>
    <row r="21" spans="1:6" x14ac:dyDescent="0.2">
      <c r="A21" s="5">
        <v>110320</v>
      </c>
      <c r="B21" s="5" t="s">
        <v>117</v>
      </c>
      <c r="C21" s="5" t="s">
        <v>106</v>
      </c>
      <c r="D21" s="5" t="s">
        <v>18</v>
      </c>
      <c r="E21" s="5" t="s">
        <v>695</v>
      </c>
      <c r="F21" s="5" t="s">
        <v>699</v>
      </c>
    </row>
    <row r="22" spans="1:6" x14ac:dyDescent="0.2">
      <c r="A22" s="5">
        <v>111118</v>
      </c>
      <c r="B22" s="5" t="s">
        <v>122</v>
      </c>
      <c r="C22" s="5" t="s">
        <v>106</v>
      </c>
      <c r="D22" s="5" t="s">
        <v>18</v>
      </c>
      <c r="E22" s="5" t="s">
        <v>695</v>
      </c>
      <c r="F22" s="5" t="s">
        <v>699</v>
      </c>
    </row>
    <row r="23" spans="1:6" x14ac:dyDescent="0.2">
      <c r="A23" s="5">
        <v>111228</v>
      </c>
      <c r="B23" s="5" t="s">
        <v>139</v>
      </c>
      <c r="C23" s="5" t="s">
        <v>124</v>
      </c>
      <c r="D23" s="5" t="s">
        <v>18</v>
      </c>
      <c r="E23" s="5" t="s">
        <v>695</v>
      </c>
      <c r="F23" s="5" t="s">
        <v>699</v>
      </c>
    </row>
    <row r="24" spans="1:6" x14ac:dyDescent="0.2">
      <c r="A24" s="5">
        <v>111098</v>
      </c>
      <c r="B24" s="5" t="s">
        <v>128</v>
      </c>
      <c r="C24" s="5" t="s">
        <v>124</v>
      </c>
      <c r="D24" s="5" t="s">
        <v>18</v>
      </c>
      <c r="E24" s="5" t="s">
        <v>695</v>
      </c>
      <c r="F24" s="5" t="s">
        <v>699</v>
      </c>
    </row>
    <row r="25" spans="1:6" x14ac:dyDescent="0.2">
      <c r="A25" s="5">
        <v>210093</v>
      </c>
      <c r="B25" s="5" t="s">
        <v>130</v>
      </c>
      <c r="C25" s="5" t="s">
        <v>124</v>
      </c>
      <c r="D25" s="5" t="s">
        <v>18</v>
      </c>
      <c r="E25" s="5" t="s">
        <v>695</v>
      </c>
      <c r="F25" s="5" t="s">
        <v>699</v>
      </c>
    </row>
    <row r="26" spans="1:6" x14ac:dyDescent="0.2">
      <c r="A26" s="5">
        <v>210091</v>
      </c>
      <c r="B26" s="5" t="s">
        <v>125</v>
      </c>
      <c r="C26" s="5" t="s">
        <v>124</v>
      </c>
      <c r="D26" s="5" t="s">
        <v>18</v>
      </c>
      <c r="E26" s="5" t="s">
        <v>695</v>
      </c>
      <c r="F26" s="5" t="s">
        <v>699</v>
      </c>
    </row>
    <row r="27" spans="1:6" x14ac:dyDescent="0.2">
      <c r="A27" s="5">
        <v>111156</v>
      </c>
      <c r="B27" s="5" t="s">
        <v>129</v>
      </c>
      <c r="C27" s="5" t="s">
        <v>124</v>
      </c>
      <c r="D27" s="5" t="s">
        <v>18</v>
      </c>
      <c r="E27" s="5" t="s">
        <v>695</v>
      </c>
      <c r="F27" s="5" t="s">
        <v>699</v>
      </c>
    </row>
    <row r="28" spans="1:6" x14ac:dyDescent="0.2">
      <c r="A28" s="5">
        <v>210467</v>
      </c>
      <c r="B28" s="5" t="s">
        <v>132</v>
      </c>
      <c r="C28" s="5" t="s">
        <v>124</v>
      </c>
      <c r="D28" s="5" t="s">
        <v>18</v>
      </c>
      <c r="E28" s="5" t="s">
        <v>99</v>
      </c>
      <c r="F28" s="5" t="s">
        <v>699</v>
      </c>
    </row>
    <row r="29" spans="1:6" x14ac:dyDescent="0.2">
      <c r="A29" s="5">
        <v>111223</v>
      </c>
      <c r="B29" s="5" t="s">
        <v>138</v>
      </c>
      <c r="C29" s="5" t="s">
        <v>124</v>
      </c>
      <c r="D29" s="5" t="s">
        <v>18</v>
      </c>
      <c r="E29" s="5" t="s">
        <v>99</v>
      </c>
      <c r="F29" s="5" t="s">
        <v>699</v>
      </c>
    </row>
    <row r="30" spans="1:6" x14ac:dyDescent="0.2">
      <c r="A30" s="5">
        <v>111231</v>
      </c>
      <c r="B30" s="5" t="s">
        <v>141</v>
      </c>
      <c r="C30" s="5" t="s">
        <v>124</v>
      </c>
      <c r="D30" s="5" t="s">
        <v>18</v>
      </c>
      <c r="E30" s="5" t="s">
        <v>695</v>
      </c>
      <c r="F30" s="5" t="s">
        <v>699</v>
      </c>
    </row>
    <row r="31" spans="1:6" x14ac:dyDescent="0.2">
      <c r="A31" s="5">
        <v>111221</v>
      </c>
      <c r="B31" s="5" t="s">
        <v>137</v>
      </c>
      <c r="C31" s="5" t="s">
        <v>124</v>
      </c>
      <c r="D31" s="5" t="s">
        <v>18</v>
      </c>
      <c r="E31" s="5" t="s">
        <v>695</v>
      </c>
      <c r="F31" s="5" t="s">
        <v>699</v>
      </c>
    </row>
    <row r="32" spans="1:6" x14ac:dyDescent="0.2">
      <c r="A32" s="5">
        <v>210067</v>
      </c>
      <c r="B32" s="5" t="s">
        <v>135</v>
      </c>
      <c r="C32" s="5" t="s">
        <v>124</v>
      </c>
      <c r="D32" s="5" t="s">
        <v>18</v>
      </c>
      <c r="E32" s="5" t="s">
        <v>695</v>
      </c>
      <c r="F32" s="5" t="s">
        <v>699</v>
      </c>
    </row>
    <row r="33" spans="1:6" x14ac:dyDescent="0.2">
      <c r="A33" s="5">
        <v>111104</v>
      </c>
      <c r="B33" s="5" t="s">
        <v>133</v>
      </c>
      <c r="C33" s="5" t="s">
        <v>124</v>
      </c>
      <c r="D33" s="5" t="s">
        <v>18</v>
      </c>
      <c r="E33" s="5" t="s">
        <v>695</v>
      </c>
      <c r="F33" s="5" t="s">
        <v>699</v>
      </c>
    </row>
    <row r="34" spans="1:6" x14ac:dyDescent="0.2">
      <c r="A34" s="5">
        <v>210197</v>
      </c>
      <c r="B34" s="5" t="s">
        <v>131</v>
      </c>
      <c r="C34" s="5" t="s">
        <v>124</v>
      </c>
      <c r="D34" s="5" t="s">
        <v>18</v>
      </c>
      <c r="E34" s="5" t="s">
        <v>695</v>
      </c>
      <c r="F34" s="5" t="s">
        <v>699</v>
      </c>
    </row>
    <row r="35" spans="1:6" x14ac:dyDescent="0.2">
      <c r="A35" s="5">
        <v>110922</v>
      </c>
      <c r="B35" s="5" t="s">
        <v>739</v>
      </c>
      <c r="C35" s="5" t="s">
        <v>124</v>
      </c>
      <c r="D35" s="5" t="s">
        <v>18</v>
      </c>
      <c r="E35" s="5" t="s">
        <v>695</v>
      </c>
      <c r="F35" s="5" t="s">
        <v>699</v>
      </c>
    </row>
    <row r="36" spans="1:6" x14ac:dyDescent="0.2">
      <c r="A36" s="5">
        <v>110547</v>
      </c>
      <c r="B36" s="5" t="s">
        <v>127</v>
      </c>
      <c r="C36" s="5" t="s">
        <v>124</v>
      </c>
      <c r="D36" s="5" t="s">
        <v>18</v>
      </c>
      <c r="E36" s="5" t="s">
        <v>695</v>
      </c>
      <c r="F36" s="5" t="s">
        <v>699</v>
      </c>
    </row>
    <row r="37" spans="1:6" x14ac:dyDescent="0.2">
      <c r="A37" s="5">
        <v>111086</v>
      </c>
      <c r="B37" s="5" t="s">
        <v>126</v>
      </c>
      <c r="C37" s="5" t="s">
        <v>124</v>
      </c>
      <c r="D37" s="5" t="s">
        <v>18</v>
      </c>
      <c r="E37" s="5" t="s">
        <v>695</v>
      </c>
      <c r="F37" s="5" t="s">
        <v>699</v>
      </c>
    </row>
    <row r="38" spans="1:6" x14ac:dyDescent="0.2">
      <c r="A38" s="5">
        <v>210376</v>
      </c>
      <c r="B38" s="5" t="s">
        <v>134</v>
      </c>
      <c r="C38" s="5" t="s">
        <v>124</v>
      </c>
      <c r="D38" s="5" t="s">
        <v>18</v>
      </c>
      <c r="E38" s="5" t="s">
        <v>695</v>
      </c>
      <c r="F38" s="5" t="s">
        <v>699</v>
      </c>
    </row>
    <row r="39" spans="1:6" x14ac:dyDescent="0.2">
      <c r="A39" s="5">
        <v>111213</v>
      </c>
      <c r="B39" s="5" t="s">
        <v>136</v>
      </c>
      <c r="C39" s="5" t="s">
        <v>124</v>
      </c>
      <c r="D39" s="5" t="s">
        <v>18</v>
      </c>
      <c r="E39" s="5" t="s">
        <v>695</v>
      </c>
      <c r="F39" s="5" t="s">
        <v>699</v>
      </c>
    </row>
    <row r="40" spans="1:6" x14ac:dyDescent="0.2">
      <c r="A40" s="5">
        <v>111242</v>
      </c>
      <c r="B40" s="5" t="s">
        <v>140</v>
      </c>
      <c r="C40" s="5" t="s">
        <v>124</v>
      </c>
      <c r="D40" s="5" t="s">
        <v>18</v>
      </c>
      <c r="E40" s="5" t="s">
        <v>695</v>
      </c>
      <c r="F40" s="5" t="s">
        <v>699</v>
      </c>
    </row>
    <row r="41" spans="1:6" x14ac:dyDescent="0.2">
      <c r="A41" s="5">
        <v>111229</v>
      </c>
      <c r="B41" s="5" t="s">
        <v>158</v>
      </c>
      <c r="C41" s="5" t="s">
        <v>142</v>
      </c>
      <c r="D41" s="5" t="s">
        <v>18</v>
      </c>
      <c r="E41" s="5" t="s">
        <v>695</v>
      </c>
      <c r="F41" s="5" t="s">
        <v>699</v>
      </c>
    </row>
    <row r="42" spans="1:6" x14ac:dyDescent="0.2">
      <c r="A42" s="5">
        <v>111247</v>
      </c>
      <c r="B42" s="5" t="s">
        <v>159</v>
      </c>
      <c r="C42" s="5" t="s">
        <v>142</v>
      </c>
      <c r="D42" s="5" t="s">
        <v>18</v>
      </c>
      <c r="E42" s="5" t="s">
        <v>695</v>
      </c>
      <c r="F42" s="5" t="s">
        <v>699</v>
      </c>
    </row>
    <row r="43" spans="1:6" x14ac:dyDescent="0.2">
      <c r="A43" s="5">
        <v>111046</v>
      </c>
      <c r="B43" s="5" t="s">
        <v>150</v>
      </c>
      <c r="C43" s="5" t="s">
        <v>142</v>
      </c>
      <c r="D43" s="5" t="s">
        <v>18</v>
      </c>
      <c r="E43" s="5" t="s">
        <v>695</v>
      </c>
      <c r="F43" s="5" t="s">
        <v>699</v>
      </c>
    </row>
    <row r="44" spans="1:6" x14ac:dyDescent="0.2">
      <c r="A44" s="5">
        <v>110803</v>
      </c>
      <c r="B44" s="5" t="s">
        <v>147</v>
      </c>
      <c r="C44" s="5" t="s">
        <v>142</v>
      </c>
      <c r="D44" s="5" t="s">
        <v>18</v>
      </c>
      <c r="E44" s="5" t="s">
        <v>695</v>
      </c>
      <c r="F44" s="5" t="s">
        <v>699</v>
      </c>
    </row>
    <row r="45" spans="1:6" x14ac:dyDescent="0.2">
      <c r="A45" s="5">
        <v>110443</v>
      </c>
      <c r="B45" s="5" t="s">
        <v>151</v>
      </c>
      <c r="C45" s="5" t="s">
        <v>142</v>
      </c>
      <c r="D45" s="5" t="s">
        <v>18</v>
      </c>
      <c r="E45" s="5" t="s">
        <v>695</v>
      </c>
      <c r="F45" s="5" t="s">
        <v>699</v>
      </c>
    </row>
    <row r="46" spans="1:6" x14ac:dyDescent="0.2">
      <c r="A46" s="5">
        <v>210463</v>
      </c>
      <c r="B46" s="5" t="s">
        <v>144</v>
      </c>
      <c r="C46" s="5" t="s">
        <v>142</v>
      </c>
      <c r="D46" s="5" t="s">
        <v>18</v>
      </c>
      <c r="E46" s="5" t="s">
        <v>695</v>
      </c>
      <c r="F46" s="5" t="s">
        <v>699</v>
      </c>
    </row>
    <row r="47" spans="1:6" x14ac:dyDescent="0.2">
      <c r="A47" s="5">
        <v>111051</v>
      </c>
      <c r="B47" s="5" t="s">
        <v>154</v>
      </c>
      <c r="C47" s="5" t="s">
        <v>142</v>
      </c>
      <c r="D47" s="5" t="s">
        <v>18</v>
      </c>
      <c r="E47" s="5" t="s">
        <v>695</v>
      </c>
      <c r="F47" s="5" t="s">
        <v>699</v>
      </c>
    </row>
    <row r="48" spans="1:6" x14ac:dyDescent="0.2">
      <c r="A48" s="5">
        <v>110427</v>
      </c>
      <c r="B48" s="5" t="s">
        <v>156</v>
      </c>
      <c r="C48" s="5" t="s">
        <v>142</v>
      </c>
      <c r="D48" s="5" t="s">
        <v>18</v>
      </c>
      <c r="E48" s="5" t="s">
        <v>695</v>
      </c>
      <c r="F48" s="5" t="s">
        <v>699</v>
      </c>
    </row>
    <row r="49" spans="1:6" x14ac:dyDescent="0.2">
      <c r="A49" s="5">
        <v>111044</v>
      </c>
      <c r="B49" s="5" t="s">
        <v>145</v>
      </c>
      <c r="C49" s="5" t="s">
        <v>142</v>
      </c>
      <c r="D49" s="5" t="s">
        <v>18</v>
      </c>
      <c r="E49" s="5" t="s">
        <v>695</v>
      </c>
      <c r="F49" s="5" t="s">
        <v>699</v>
      </c>
    </row>
    <row r="50" spans="1:6" x14ac:dyDescent="0.2">
      <c r="A50" s="5">
        <v>111081</v>
      </c>
      <c r="B50" s="5" t="s">
        <v>149</v>
      </c>
      <c r="C50" s="5" t="s">
        <v>142</v>
      </c>
      <c r="D50" s="5" t="s">
        <v>18</v>
      </c>
      <c r="E50" s="5" t="s">
        <v>695</v>
      </c>
      <c r="F50" s="5" t="s">
        <v>699</v>
      </c>
    </row>
    <row r="51" spans="1:6" x14ac:dyDescent="0.2">
      <c r="A51" s="5">
        <v>111176</v>
      </c>
      <c r="B51" s="5" t="s">
        <v>157</v>
      </c>
      <c r="C51" s="5" t="s">
        <v>142</v>
      </c>
      <c r="D51" s="5" t="s">
        <v>18</v>
      </c>
      <c r="E51" s="5" t="s">
        <v>695</v>
      </c>
      <c r="F51" s="5" t="s">
        <v>699</v>
      </c>
    </row>
    <row r="52" spans="1:6" x14ac:dyDescent="0.2">
      <c r="A52" s="5">
        <v>111259</v>
      </c>
      <c r="B52" s="5" t="s">
        <v>161</v>
      </c>
      <c r="C52" s="5" t="s">
        <v>142</v>
      </c>
      <c r="D52" s="5" t="s">
        <v>18</v>
      </c>
      <c r="E52" s="5" t="s">
        <v>695</v>
      </c>
      <c r="F52" s="5" t="s">
        <v>699</v>
      </c>
    </row>
    <row r="53" spans="1:6" x14ac:dyDescent="0.2">
      <c r="A53" s="5">
        <v>210366</v>
      </c>
      <c r="B53" s="5" t="s">
        <v>153</v>
      </c>
      <c r="C53" s="5" t="s">
        <v>142</v>
      </c>
      <c r="D53" s="5" t="s">
        <v>18</v>
      </c>
      <c r="E53" s="5" t="s">
        <v>695</v>
      </c>
      <c r="F53" s="5" t="s">
        <v>699</v>
      </c>
    </row>
    <row r="54" spans="1:6" x14ac:dyDescent="0.2">
      <c r="A54" s="5">
        <v>110280</v>
      </c>
      <c r="B54" s="5" t="s">
        <v>146</v>
      </c>
      <c r="C54" s="5" t="s">
        <v>142</v>
      </c>
      <c r="D54" s="5" t="s">
        <v>18</v>
      </c>
      <c r="E54" s="5" t="s">
        <v>695</v>
      </c>
      <c r="F54" s="5" t="s">
        <v>699</v>
      </c>
    </row>
    <row r="55" spans="1:6" x14ac:dyDescent="0.2">
      <c r="A55" s="5">
        <v>210182</v>
      </c>
      <c r="B55" s="5" t="s">
        <v>152</v>
      </c>
      <c r="C55" s="5" t="s">
        <v>142</v>
      </c>
      <c r="D55" s="5" t="s">
        <v>18</v>
      </c>
      <c r="E55" s="5" t="s">
        <v>695</v>
      </c>
      <c r="F55" s="5" t="s">
        <v>699</v>
      </c>
    </row>
    <row r="56" spans="1:6" x14ac:dyDescent="0.2">
      <c r="A56" s="5">
        <v>111054</v>
      </c>
      <c r="B56" s="5" t="s">
        <v>155</v>
      </c>
      <c r="C56" s="5" t="s">
        <v>142</v>
      </c>
      <c r="D56" s="5" t="s">
        <v>18</v>
      </c>
      <c r="E56" s="5" t="s">
        <v>695</v>
      </c>
      <c r="F56" s="5" t="s">
        <v>699</v>
      </c>
    </row>
    <row r="57" spans="1:6" x14ac:dyDescent="0.2">
      <c r="A57" s="5">
        <v>111255</v>
      </c>
      <c r="B57" s="5" t="s">
        <v>160</v>
      </c>
      <c r="C57" s="5" t="s">
        <v>142</v>
      </c>
      <c r="D57" s="5" t="s">
        <v>18</v>
      </c>
      <c r="E57" s="5" t="s">
        <v>695</v>
      </c>
      <c r="F57" s="5" t="s">
        <v>699</v>
      </c>
    </row>
    <row r="58" spans="1:6" x14ac:dyDescent="0.2">
      <c r="A58" s="5">
        <v>111020</v>
      </c>
      <c r="B58" s="5" t="s">
        <v>148</v>
      </c>
      <c r="C58" s="5" t="s">
        <v>142</v>
      </c>
      <c r="D58" s="5" t="s">
        <v>18</v>
      </c>
      <c r="E58" s="5" t="s">
        <v>695</v>
      </c>
      <c r="F58" s="5" t="s">
        <v>699</v>
      </c>
    </row>
    <row r="59" spans="1:6" x14ac:dyDescent="0.2">
      <c r="A59" s="5">
        <v>110672</v>
      </c>
      <c r="B59" s="5" t="s">
        <v>143</v>
      </c>
      <c r="C59" s="5" t="s">
        <v>142</v>
      </c>
      <c r="D59" s="5" t="s">
        <v>18</v>
      </c>
      <c r="E59" s="5" t="s">
        <v>695</v>
      </c>
      <c r="F59" s="5" t="s">
        <v>699</v>
      </c>
    </row>
    <row r="60" spans="1:6" x14ac:dyDescent="0.2">
      <c r="A60" s="5">
        <v>111266</v>
      </c>
      <c r="B60" s="5" t="s">
        <v>180</v>
      </c>
      <c r="C60" s="5" t="s">
        <v>162</v>
      </c>
      <c r="D60" s="5" t="s">
        <v>18</v>
      </c>
      <c r="E60" s="5" t="s">
        <v>695</v>
      </c>
      <c r="F60" s="5" t="s">
        <v>699</v>
      </c>
    </row>
    <row r="61" spans="1:6" x14ac:dyDescent="0.2">
      <c r="A61" s="5">
        <v>210465</v>
      </c>
      <c r="B61" s="5" t="s">
        <v>167</v>
      </c>
      <c r="C61" s="5" t="s">
        <v>162</v>
      </c>
      <c r="D61" s="5" t="s">
        <v>18</v>
      </c>
      <c r="E61" s="5" t="s">
        <v>695</v>
      </c>
      <c r="F61" s="5" t="s">
        <v>699</v>
      </c>
    </row>
    <row r="62" spans="1:6" x14ac:dyDescent="0.2">
      <c r="A62" s="5">
        <v>110471</v>
      </c>
      <c r="B62" s="5" t="s">
        <v>169</v>
      </c>
      <c r="C62" s="5" t="s">
        <v>162</v>
      </c>
      <c r="D62" s="5" t="s">
        <v>18</v>
      </c>
      <c r="E62" s="5" t="s">
        <v>695</v>
      </c>
      <c r="F62" s="5" t="s">
        <v>699</v>
      </c>
    </row>
    <row r="63" spans="1:6" x14ac:dyDescent="0.2">
      <c r="A63" s="5">
        <v>110434</v>
      </c>
      <c r="B63" s="5" t="s">
        <v>168</v>
      </c>
      <c r="C63" s="5" t="s">
        <v>162</v>
      </c>
      <c r="D63" s="5" t="s">
        <v>18</v>
      </c>
      <c r="E63" s="5" t="s">
        <v>695</v>
      </c>
      <c r="F63" s="5" t="s">
        <v>699</v>
      </c>
    </row>
    <row r="64" spans="1:6" x14ac:dyDescent="0.2">
      <c r="A64" s="5">
        <v>111238</v>
      </c>
      <c r="B64" s="5" t="s">
        <v>164</v>
      </c>
      <c r="C64" s="5" t="s">
        <v>162</v>
      </c>
      <c r="D64" s="5" t="s">
        <v>18</v>
      </c>
      <c r="E64" s="5" t="s">
        <v>99</v>
      </c>
      <c r="F64" s="5" t="s">
        <v>699</v>
      </c>
    </row>
    <row r="65" spans="1:6" x14ac:dyDescent="0.2">
      <c r="A65" s="5">
        <v>111193</v>
      </c>
      <c r="B65" s="5" t="s">
        <v>175</v>
      </c>
      <c r="C65" s="5" t="s">
        <v>162</v>
      </c>
      <c r="D65" s="5" t="s">
        <v>18</v>
      </c>
      <c r="E65" s="5" t="s">
        <v>695</v>
      </c>
      <c r="F65" s="5" t="s">
        <v>699</v>
      </c>
    </row>
    <row r="66" spans="1:6" x14ac:dyDescent="0.2">
      <c r="A66" s="5">
        <v>110426</v>
      </c>
      <c r="B66" s="5" t="s">
        <v>174</v>
      </c>
      <c r="C66" s="5" t="s">
        <v>162</v>
      </c>
      <c r="D66" s="5" t="s">
        <v>18</v>
      </c>
      <c r="E66" s="5" t="s">
        <v>695</v>
      </c>
      <c r="F66" s="5" t="s">
        <v>699</v>
      </c>
    </row>
    <row r="67" spans="1:6" x14ac:dyDescent="0.2">
      <c r="A67" s="5">
        <v>110532</v>
      </c>
      <c r="B67" s="5" t="s">
        <v>165</v>
      </c>
      <c r="C67" s="5" t="s">
        <v>162</v>
      </c>
      <c r="D67" s="5" t="s">
        <v>18</v>
      </c>
      <c r="E67" s="5" t="s">
        <v>99</v>
      </c>
      <c r="F67" s="5" t="s">
        <v>699</v>
      </c>
    </row>
    <row r="68" spans="1:6" x14ac:dyDescent="0.2">
      <c r="A68" s="5">
        <v>111250</v>
      </c>
      <c r="B68" s="5" t="s">
        <v>176</v>
      </c>
      <c r="C68" s="5" t="s">
        <v>162</v>
      </c>
      <c r="D68" s="5" t="s">
        <v>18</v>
      </c>
      <c r="E68" s="5" t="s">
        <v>695</v>
      </c>
      <c r="F68" s="5" t="s">
        <v>699</v>
      </c>
    </row>
    <row r="69" spans="1:6" x14ac:dyDescent="0.2">
      <c r="A69" s="5">
        <v>111234</v>
      </c>
      <c r="B69" s="5" t="s">
        <v>177</v>
      </c>
      <c r="C69" s="5" t="s">
        <v>162</v>
      </c>
      <c r="D69" s="5" t="s">
        <v>18</v>
      </c>
      <c r="E69" s="5" t="s">
        <v>695</v>
      </c>
      <c r="F69" s="5" t="s">
        <v>699</v>
      </c>
    </row>
    <row r="70" spans="1:6" x14ac:dyDescent="0.2">
      <c r="A70" s="5">
        <v>110830</v>
      </c>
      <c r="B70" s="5" t="s">
        <v>173</v>
      </c>
      <c r="C70" s="5" t="s">
        <v>162</v>
      </c>
      <c r="D70" s="5" t="s">
        <v>18</v>
      </c>
      <c r="E70" s="5" t="s">
        <v>695</v>
      </c>
      <c r="F70" s="5" t="s">
        <v>699</v>
      </c>
    </row>
    <row r="71" spans="1:6" x14ac:dyDescent="0.2">
      <c r="A71" s="5">
        <v>111145</v>
      </c>
      <c r="B71" s="5" t="s">
        <v>170</v>
      </c>
      <c r="C71" s="5" t="s">
        <v>162</v>
      </c>
      <c r="D71" s="5" t="s">
        <v>18</v>
      </c>
      <c r="E71" s="5" t="s">
        <v>99</v>
      </c>
      <c r="F71" s="5" t="s">
        <v>699</v>
      </c>
    </row>
    <row r="72" spans="1:6" x14ac:dyDescent="0.2">
      <c r="A72" s="5">
        <v>111261</v>
      </c>
      <c r="B72" s="5" t="s">
        <v>179</v>
      </c>
      <c r="C72" s="5" t="s">
        <v>162</v>
      </c>
      <c r="D72" s="5" t="s">
        <v>18</v>
      </c>
      <c r="E72" s="5" t="s">
        <v>695</v>
      </c>
      <c r="F72" s="5" t="s">
        <v>699</v>
      </c>
    </row>
    <row r="73" spans="1:6" x14ac:dyDescent="0.2">
      <c r="A73" s="5">
        <v>210369</v>
      </c>
      <c r="B73" s="5" t="s">
        <v>171</v>
      </c>
      <c r="C73" s="5" t="s">
        <v>162</v>
      </c>
      <c r="D73" s="5" t="s">
        <v>18</v>
      </c>
      <c r="E73" s="5" t="s">
        <v>695</v>
      </c>
      <c r="F73" s="5" t="s">
        <v>699</v>
      </c>
    </row>
    <row r="74" spans="1:6" x14ac:dyDescent="0.2">
      <c r="A74" s="5">
        <v>210188</v>
      </c>
      <c r="B74" s="5" t="s">
        <v>163</v>
      </c>
      <c r="C74" s="5" t="s">
        <v>162</v>
      </c>
      <c r="D74" s="5" t="s">
        <v>18</v>
      </c>
      <c r="E74" s="5" t="s">
        <v>695</v>
      </c>
      <c r="F74" s="5" t="s">
        <v>699</v>
      </c>
    </row>
    <row r="75" spans="1:6" x14ac:dyDescent="0.2">
      <c r="A75" s="5">
        <v>111235</v>
      </c>
      <c r="B75" s="5" t="s">
        <v>178</v>
      </c>
      <c r="C75" s="5" t="s">
        <v>162</v>
      </c>
      <c r="D75" s="5" t="s">
        <v>18</v>
      </c>
      <c r="E75" s="5" t="s">
        <v>695</v>
      </c>
      <c r="F75" s="5" t="s">
        <v>699</v>
      </c>
    </row>
    <row r="76" spans="1:6" x14ac:dyDescent="0.2">
      <c r="A76" s="5">
        <v>210379</v>
      </c>
      <c r="B76" s="5" t="s">
        <v>166</v>
      </c>
      <c r="C76" s="5" t="s">
        <v>162</v>
      </c>
      <c r="D76" s="5" t="s">
        <v>18</v>
      </c>
      <c r="E76" s="5" t="s">
        <v>695</v>
      </c>
      <c r="F76" s="5" t="s">
        <v>699</v>
      </c>
    </row>
    <row r="77" spans="1:6" x14ac:dyDescent="0.2">
      <c r="A77" s="5">
        <v>210452</v>
      </c>
      <c r="B77" s="5" t="s">
        <v>172</v>
      </c>
      <c r="C77" s="5" t="s">
        <v>162</v>
      </c>
      <c r="D77" s="5" t="s">
        <v>18</v>
      </c>
      <c r="E77" s="5" t="s">
        <v>695</v>
      </c>
      <c r="F77" s="5" t="s">
        <v>699</v>
      </c>
    </row>
    <row r="78" spans="1:6" x14ac:dyDescent="0.2">
      <c r="A78" s="5">
        <v>110805</v>
      </c>
      <c r="B78" s="5" t="s">
        <v>189</v>
      </c>
      <c r="C78" s="5" t="s">
        <v>181</v>
      </c>
      <c r="D78" s="5" t="s">
        <v>18</v>
      </c>
      <c r="E78" s="5" t="s">
        <v>695</v>
      </c>
      <c r="F78" s="5" t="s">
        <v>699</v>
      </c>
    </row>
    <row r="79" spans="1:6" x14ac:dyDescent="0.2">
      <c r="A79" s="5">
        <v>111265</v>
      </c>
      <c r="B79" s="5" t="s">
        <v>196</v>
      </c>
      <c r="C79" s="5" t="s">
        <v>181</v>
      </c>
      <c r="D79" s="5" t="s">
        <v>18</v>
      </c>
      <c r="E79" s="5" t="s">
        <v>99</v>
      </c>
      <c r="F79" s="5" t="s">
        <v>699</v>
      </c>
    </row>
    <row r="80" spans="1:6" x14ac:dyDescent="0.2">
      <c r="A80" s="5">
        <v>111264</v>
      </c>
      <c r="B80" s="5" t="s">
        <v>195</v>
      </c>
      <c r="C80" s="5" t="s">
        <v>181</v>
      </c>
      <c r="D80" s="5" t="s">
        <v>18</v>
      </c>
      <c r="E80" s="5" t="s">
        <v>695</v>
      </c>
      <c r="F80" s="5" t="s">
        <v>699</v>
      </c>
    </row>
    <row r="81" spans="1:6" x14ac:dyDescent="0.2">
      <c r="A81" s="5">
        <v>111153</v>
      </c>
      <c r="B81" s="5" t="s">
        <v>183</v>
      </c>
      <c r="C81" s="5" t="s">
        <v>181</v>
      </c>
      <c r="D81" s="5" t="s">
        <v>18</v>
      </c>
      <c r="E81" s="5" t="s">
        <v>695</v>
      </c>
      <c r="F81" s="5" t="s">
        <v>699</v>
      </c>
    </row>
    <row r="82" spans="1:6" x14ac:dyDescent="0.2">
      <c r="A82" s="5">
        <v>110713</v>
      </c>
      <c r="B82" s="5" t="s">
        <v>182</v>
      </c>
      <c r="C82" s="5" t="s">
        <v>181</v>
      </c>
      <c r="D82" s="5" t="s">
        <v>18</v>
      </c>
      <c r="E82" s="5" t="s">
        <v>695</v>
      </c>
      <c r="F82" s="5" t="s">
        <v>699</v>
      </c>
    </row>
    <row r="83" spans="1:6" x14ac:dyDescent="0.2">
      <c r="A83" s="5">
        <v>110295</v>
      </c>
      <c r="B83" s="5" t="s">
        <v>187</v>
      </c>
      <c r="C83" s="5" t="s">
        <v>181</v>
      </c>
      <c r="D83" s="5" t="s">
        <v>18</v>
      </c>
      <c r="E83" s="5" t="s">
        <v>695</v>
      </c>
      <c r="F83" s="5" t="s">
        <v>699</v>
      </c>
    </row>
    <row r="84" spans="1:6" x14ac:dyDescent="0.2">
      <c r="A84" s="5">
        <v>111201</v>
      </c>
      <c r="B84" s="5" t="s">
        <v>191</v>
      </c>
      <c r="C84" s="5" t="s">
        <v>181</v>
      </c>
      <c r="D84" s="5" t="s">
        <v>18</v>
      </c>
      <c r="E84" s="5" t="s">
        <v>695</v>
      </c>
      <c r="F84" s="5" t="s">
        <v>699</v>
      </c>
    </row>
    <row r="85" spans="1:6" x14ac:dyDescent="0.2">
      <c r="A85" s="5">
        <v>210021</v>
      </c>
      <c r="B85" s="5" t="s">
        <v>185</v>
      </c>
      <c r="C85" s="5" t="s">
        <v>181</v>
      </c>
      <c r="D85" s="5" t="s">
        <v>18</v>
      </c>
      <c r="E85" s="5" t="s">
        <v>99</v>
      </c>
      <c r="F85" s="5" t="s">
        <v>699</v>
      </c>
    </row>
    <row r="86" spans="1:6" x14ac:dyDescent="0.2">
      <c r="A86" s="5">
        <v>111260</v>
      </c>
      <c r="B86" s="5" t="s">
        <v>194</v>
      </c>
      <c r="C86" s="5" t="s">
        <v>181</v>
      </c>
      <c r="D86" s="5" t="s">
        <v>18</v>
      </c>
      <c r="E86" s="5" t="s">
        <v>695</v>
      </c>
      <c r="F86" s="5" t="s">
        <v>699</v>
      </c>
    </row>
    <row r="87" spans="1:6" x14ac:dyDescent="0.2">
      <c r="A87" s="5">
        <v>210454</v>
      </c>
      <c r="B87" s="5" t="s">
        <v>190</v>
      </c>
      <c r="C87" s="5" t="s">
        <v>181</v>
      </c>
      <c r="D87" s="5" t="s">
        <v>18</v>
      </c>
      <c r="E87" s="5" t="s">
        <v>695</v>
      </c>
      <c r="F87" s="5" t="s">
        <v>699</v>
      </c>
    </row>
    <row r="88" spans="1:6" x14ac:dyDescent="0.2">
      <c r="A88" s="5">
        <v>111258</v>
      </c>
      <c r="B88" s="5" t="s">
        <v>193</v>
      </c>
      <c r="C88" s="5" t="s">
        <v>181</v>
      </c>
      <c r="D88" s="5" t="s">
        <v>18</v>
      </c>
      <c r="E88" s="5" t="s">
        <v>695</v>
      </c>
      <c r="F88" s="5" t="s">
        <v>699</v>
      </c>
    </row>
    <row r="89" spans="1:6" x14ac:dyDescent="0.2">
      <c r="A89" s="5">
        <v>111108</v>
      </c>
      <c r="B89" s="5" t="s">
        <v>188</v>
      </c>
      <c r="C89" s="5" t="s">
        <v>181</v>
      </c>
      <c r="D89" s="5" t="s">
        <v>18</v>
      </c>
      <c r="E89" s="5" t="s">
        <v>695</v>
      </c>
      <c r="F89" s="5" t="s">
        <v>699</v>
      </c>
    </row>
    <row r="90" spans="1:6" x14ac:dyDescent="0.2">
      <c r="A90" s="5">
        <v>111217</v>
      </c>
      <c r="B90" s="5" t="s">
        <v>192</v>
      </c>
      <c r="C90" s="5" t="s">
        <v>181</v>
      </c>
      <c r="D90" s="5" t="s">
        <v>18</v>
      </c>
      <c r="E90" s="5" t="s">
        <v>695</v>
      </c>
      <c r="F90" s="5" t="s">
        <v>699</v>
      </c>
    </row>
    <row r="91" spans="1:6" x14ac:dyDescent="0.2">
      <c r="A91" s="5">
        <v>110691</v>
      </c>
      <c r="B91" s="5" t="s">
        <v>186</v>
      </c>
      <c r="C91" s="5" t="s">
        <v>181</v>
      </c>
      <c r="D91" s="5" t="s">
        <v>18</v>
      </c>
      <c r="E91" s="5" t="s">
        <v>695</v>
      </c>
      <c r="F91" s="5" t="s">
        <v>699</v>
      </c>
    </row>
    <row r="92" spans="1:6" x14ac:dyDescent="0.2">
      <c r="A92" s="5">
        <v>111019</v>
      </c>
      <c r="B92" s="5" t="s">
        <v>184</v>
      </c>
      <c r="C92" s="5" t="s">
        <v>181</v>
      </c>
      <c r="D92" s="5" t="s">
        <v>18</v>
      </c>
      <c r="E92" s="5" t="s">
        <v>695</v>
      </c>
      <c r="F92" s="5" t="s">
        <v>699</v>
      </c>
    </row>
    <row r="93" spans="1:6" x14ac:dyDescent="0.2">
      <c r="A93" s="5">
        <v>111209</v>
      </c>
      <c r="B93" s="5" t="s">
        <v>212</v>
      </c>
      <c r="C93" s="5" t="s">
        <v>197</v>
      </c>
      <c r="D93" s="5" t="s">
        <v>18</v>
      </c>
      <c r="E93" s="5" t="s">
        <v>695</v>
      </c>
      <c r="F93" s="5" t="s">
        <v>699</v>
      </c>
    </row>
    <row r="94" spans="1:6" x14ac:dyDescent="0.2">
      <c r="A94" s="5">
        <v>111199</v>
      </c>
      <c r="B94" s="5" t="s">
        <v>211</v>
      </c>
      <c r="C94" s="5" t="s">
        <v>197</v>
      </c>
      <c r="D94" s="5" t="s">
        <v>18</v>
      </c>
      <c r="E94" s="5" t="s">
        <v>695</v>
      </c>
      <c r="F94" s="5" t="s">
        <v>699</v>
      </c>
    </row>
    <row r="95" spans="1:6" x14ac:dyDescent="0.2">
      <c r="A95" s="5">
        <v>110632</v>
      </c>
      <c r="B95" s="5" t="s">
        <v>214</v>
      </c>
      <c r="C95" s="5" t="s">
        <v>197</v>
      </c>
      <c r="D95" s="5" t="s">
        <v>18</v>
      </c>
      <c r="E95" s="5" t="s">
        <v>695</v>
      </c>
      <c r="F95" s="5" t="s">
        <v>699</v>
      </c>
    </row>
    <row r="96" spans="1:6" x14ac:dyDescent="0.2">
      <c r="A96" s="5">
        <v>210400</v>
      </c>
      <c r="B96" s="5" t="s">
        <v>199</v>
      </c>
      <c r="C96" s="5" t="s">
        <v>197</v>
      </c>
      <c r="D96" s="5" t="s">
        <v>18</v>
      </c>
      <c r="E96" s="5" t="s">
        <v>695</v>
      </c>
      <c r="F96" s="5" t="s">
        <v>699</v>
      </c>
    </row>
    <row r="97" spans="1:6" x14ac:dyDescent="0.2">
      <c r="A97" s="5">
        <v>111236</v>
      </c>
      <c r="B97" s="5" t="s">
        <v>198</v>
      </c>
      <c r="C97" s="5" t="s">
        <v>197</v>
      </c>
      <c r="D97" s="5" t="s">
        <v>18</v>
      </c>
      <c r="E97" s="5" t="s">
        <v>695</v>
      </c>
      <c r="F97" s="5" t="s">
        <v>699</v>
      </c>
    </row>
    <row r="98" spans="1:6" x14ac:dyDescent="0.2">
      <c r="A98" s="5">
        <v>210436</v>
      </c>
      <c r="B98" s="5" t="s">
        <v>206</v>
      </c>
      <c r="C98" s="5" t="s">
        <v>197</v>
      </c>
      <c r="D98" s="5" t="s">
        <v>18</v>
      </c>
      <c r="E98" s="5" t="s">
        <v>695</v>
      </c>
      <c r="F98" s="5" t="s">
        <v>699</v>
      </c>
    </row>
    <row r="99" spans="1:6" x14ac:dyDescent="0.2">
      <c r="A99" s="5">
        <v>210420</v>
      </c>
      <c r="B99" s="5" t="s">
        <v>209</v>
      </c>
      <c r="C99" s="5" t="s">
        <v>197</v>
      </c>
      <c r="D99" s="5" t="s">
        <v>18</v>
      </c>
      <c r="E99" s="5" t="s">
        <v>695</v>
      </c>
      <c r="F99" s="5" t="s">
        <v>699</v>
      </c>
    </row>
    <row r="100" spans="1:6" x14ac:dyDescent="0.2">
      <c r="A100" s="5">
        <v>111125</v>
      </c>
      <c r="B100" s="5" t="s">
        <v>203</v>
      </c>
      <c r="C100" s="5" t="s">
        <v>197</v>
      </c>
      <c r="D100" s="5" t="s">
        <v>18</v>
      </c>
      <c r="E100" s="5" t="s">
        <v>695</v>
      </c>
      <c r="F100" s="5" t="s">
        <v>699</v>
      </c>
    </row>
    <row r="101" spans="1:6" x14ac:dyDescent="0.2">
      <c r="A101" s="5">
        <v>111103</v>
      </c>
      <c r="B101" s="5" t="s">
        <v>205</v>
      </c>
      <c r="C101" s="5" t="s">
        <v>197</v>
      </c>
      <c r="D101" s="5" t="s">
        <v>18</v>
      </c>
      <c r="E101" s="5" t="s">
        <v>695</v>
      </c>
      <c r="F101" s="5" t="s">
        <v>699</v>
      </c>
    </row>
    <row r="102" spans="1:6" x14ac:dyDescent="0.2">
      <c r="A102" s="5">
        <v>110707</v>
      </c>
      <c r="B102" s="5" t="s">
        <v>204</v>
      </c>
      <c r="C102" s="5" t="s">
        <v>197</v>
      </c>
      <c r="D102" s="5" t="s">
        <v>18</v>
      </c>
      <c r="E102" s="5" t="s">
        <v>695</v>
      </c>
      <c r="F102" s="5" t="s">
        <v>699</v>
      </c>
    </row>
    <row r="103" spans="1:6" x14ac:dyDescent="0.2">
      <c r="A103" s="5">
        <v>111120</v>
      </c>
      <c r="B103" s="5" t="s">
        <v>202</v>
      </c>
      <c r="C103" s="5" t="s">
        <v>197</v>
      </c>
      <c r="D103" s="5" t="s">
        <v>18</v>
      </c>
      <c r="E103" s="5" t="s">
        <v>695</v>
      </c>
      <c r="F103" s="5" t="s">
        <v>699</v>
      </c>
    </row>
    <row r="104" spans="1:6" x14ac:dyDescent="0.2">
      <c r="A104" s="5">
        <v>110975</v>
      </c>
      <c r="B104" s="5" t="s">
        <v>208</v>
      </c>
      <c r="C104" s="5" t="s">
        <v>197</v>
      </c>
      <c r="D104" s="5" t="s">
        <v>18</v>
      </c>
      <c r="E104" s="5" t="s">
        <v>695</v>
      </c>
      <c r="F104" s="5" t="s">
        <v>699</v>
      </c>
    </row>
    <row r="105" spans="1:6" x14ac:dyDescent="0.2">
      <c r="A105" s="5">
        <v>111205</v>
      </c>
      <c r="B105" s="5" t="s">
        <v>213</v>
      </c>
      <c r="C105" s="5" t="s">
        <v>197</v>
      </c>
      <c r="D105" s="5" t="s">
        <v>18</v>
      </c>
      <c r="E105" s="5" t="s">
        <v>695</v>
      </c>
      <c r="F105" s="5" t="s">
        <v>699</v>
      </c>
    </row>
    <row r="106" spans="1:6" x14ac:dyDescent="0.2">
      <c r="A106" s="5">
        <v>111180</v>
      </c>
      <c r="B106" s="5" t="s">
        <v>210</v>
      </c>
      <c r="C106" s="5" t="s">
        <v>197</v>
      </c>
      <c r="D106" s="5" t="s">
        <v>18</v>
      </c>
      <c r="E106" s="5" t="s">
        <v>695</v>
      </c>
      <c r="F106" s="5" t="s">
        <v>699</v>
      </c>
    </row>
    <row r="107" spans="1:6" x14ac:dyDescent="0.2">
      <c r="A107" s="5">
        <v>111087</v>
      </c>
      <c r="B107" s="5" t="s">
        <v>207</v>
      </c>
      <c r="C107" s="5" t="s">
        <v>197</v>
      </c>
      <c r="D107" s="5" t="s">
        <v>18</v>
      </c>
      <c r="E107" s="5" t="s">
        <v>695</v>
      </c>
      <c r="F107" s="5" t="s">
        <v>699</v>
      </c>
    </row>
    <row r="108" spans="1:6" x14ac:dyDescent="0.2">
      <c r="A108" s="5">
        <v>210450</v>
      </c>
      <c r="B108" s="5" t="s">
        <v>200</v>
      </c>
      <c r="C108" s="5" t="s">
        <v>197</v>
      </c>
      <c r="D108" s="5" t="s">
        <v>18</v>
      </c>
      <c r="E108" s="5" t="s">
        <v>695</v>
      </c>
      <c r="F108" s="5" t="s">
        <v>699</v>
      </c>
    </row>
    <row r="109" spans="1:6" x14ac:dyDescent="0.2">
      <c r="A109" s="5">
        <v>111267</v>
      </c>
      <c r="B109" s="5" t="s">
        <v>232</v>
      </c>
      <c r="C109" s="5" t="s">
        <v>215</v>
      </c>
      <c r="D109" s="5" t="s">
        <v>18</v>
      </c>
      <c r="E109" s="5" t="s">
        <v>695</v>
      </c>
      <c r="F109" s="5" t="s">
        <v>699</v>
      </c>
    </row>
    <row r="110" spans="1:6" x14ac:dyDescent="0.2">
      <c r="A110" s="5">
        <v>210087</v>
      </c>
      <c r="B110" s="5" t="s">
        <v>229</v>
      </c>
      <c r="C110" s="5" t="s">
        <v>215</v>
      </c>
      <c r="D110" s="5" t="s">
        <v>18</v>
      </c>
      <c r="E110" s="5" t="s">
        <v>695</v>
      </c>
      <c r="F110" s="5" t="s">
        <v>699</v>
      </c>
    </row>
    <row r="111" spans="1:6" x14ac:dyDescent="0.2">
      <c r="A111" s="5">
        <v>111170</v>
      </c>
      <c r="B111" s="5" t="s">
        <v>226</v>
      </c>
      <c r="C111" s="5" t="s">
        <v>215</v>
      </c>
      <c r="D111" s="5" t="s">
        <v>18</v>
      </c>
      <c r="E111" s="5" t="s">
        <v>695</v>
      </c>
      <c r="F111" s="5" t="s">
        <v>699</v>
      </c>
    </row>
    <row r="112" spans="1:6" x14ac:dyDescent="0.2">
      <c r="A112" s="5">
        <v>110799</v>
      </c>
      <c r="B112" s="5" t="s">
        <v>231</v>
      </c>
      <c r="C112" s="5" t="s">
        <v>215</v>
      </c>
      <c r="D112" s="5" t="s">
        <v>18</v>
      </c>
      <c r="E112" s="5" t="s">
        <v>695</v>
      </c>
      <c r="F112" s="5" t="s">
        <v>699</v>
      </c>
    </row>
    <row r="113" spans="1:6" x14ac:dyDescent="0.2">
      <c r="A113" s="5">
        <v>110716</v>
      </c>
      <c r="B113" s="5" t="s">
        <v>218</v>
      </c>
      <c r="C113" s="5" t="s">
        <v>215</v>
      </c>
      <c r="D113" s="5" t="s">
        <v>18</v>
      </c>
      <c r="E113" s="5" t="s">
        <v>695</v>
      </c>
      <c r="F113" s="5" t="s">
        <v>699</v>
      </c>
    </row>
    <row r="114" spans="1:6" x14ac:dyDescent="0.2">
      <c r="A114" s="5">
        <v>110655</v>
      </c>
      <c r="B114" s="5" t="s">
        <v>221</v>
      </c>
      <c r="C114" s="5" t="s">
        <v>215</v>
      </c>
      <c r="D114" s="5" t="s">
        <v>18</v>
      </c>
      <c r="E114" s="5" t="s">
        <v>695</v>
      </c>
      <c r="F114" s="5" t="s">
        <v>699</v>
      </c>
    </row>
    <row r="115" spans="1:6" x14ac:dyDescent="0.2">
      <c r="A115" s="5">
        <v>111192</v>
      </c>
      <c r="B115" s="5" t="s">
        <v>228</v>
      </c>
      <c r="C115" s="5" t="s">
        <v>215</v>
      </c>
      <c r="D115" s="5" t="s">
        <v>18</v>
      </c>
      <c r="E115" s="5" t="s">
        <v>695</v>
      </c>
      <c r="F115" s="5" t="s">
        <v>699</v>
      </c>
    </row>
    <row r="116" spans="1:6" x14ac:dyDescent="0.2">
      <c r="A116" s="5">
        <v>110424</v>
      </c>
      <c r="B116" s="5" t="s">
        <v>217</v>
      </c>
      <c r="C116" s="5" t="s">
        <v>215</v>
      </c>
      <c r="D116" s="5" t="s">
        <v>18</v>
      </c>
      <c r="E116" s="5" t="s">
        <v>695</v>
      </c>
      <c r="F116" s="5" t="s">
        <v>699</v>
      </c>
    </row>
    <row r="117" spans="1:6" x14ac:dyDescent="0.2">
      <c r="A117" s="5">
        <v>110929</v>
      </c>
      <c r="B117" s="5" t="s">
        <v>740</v>
      </c>
      <c r="C117" s="5" t="s">
        <v>215</v>
      </c>
      <c r="D117" s="5" t="s">
        <v>18</v>
      </c>
      <c r="E117" s="5" t="s">
        <v>695</v>
      </c>
      <c r="F117" s="5" t="s">
        <v>699</v>
      </c>
    </row>
    <row r="118" spans="1:6" x14ac:dyDescent="0.2">
      <c r="A118" s="5">
        <v>210373</v>
      </c>
      <c r="B118" s="5" t="s">
        <v>220</v>
      </c>
      <c r="C118" s="5" t="s">
        <v>215</v>
      </c>
      <c r="D118" s="5" t="s">
        <v>18</v>
      </c>
      <c r="E118" s="5" t="s">
        <v>695</v>
      </c>
      <c r="F118" s="5" t="s">
        <v>699</v>
      </c>
    </row>
    <row r="119" spans="1:6" x14ac:dyDescent="0.2">
      <c r="A119" s="5">
        <v>111206</v>
      </c>
      <c r="B119" s="5" t="s">
        <v>230</v>
      </c>
      <c r="C119" s="5" t="s">
        <v>215</v>
      </c>
      <c r="D119" s="5" t="s">
        <v>18</v>
      </c>
      <c r="E119" s="5" t="s">
        <v>695</v>
      </c>
      <c r="F119" s="5" t="s">
        <v>699</v>
      </c>
    </row>
    <row r="120" spans="1:6" x14ac:dyDescent="0.2">
      <c r="A120" s="5">
        <v>111268</v>
      </c>
      <c r="B120" s="5" t="s">
        <v>233</v>
      </c>
      <c r="C120" s="5" t="s">
        <v>215</v>
      </c>
      <c r="D120" s="5" t="s">
        <v>18</v>
      </c>
      <c r="E120" s="5" t="s">
        <v>695</v>
      </c>
      <c r="F120" s="5" t="s">
        <v>699</v>
      </c>
    </row>
    <row r="121" spans="1:6" x14ac:dyDescent="0.2">
      <c r="A121" s="5">
        <v>111007</v>
      </c>
      <c r="B121" s="5" t="s">
        <v>216</v>
      </c>
      <c r="C121" s="5" t="s">
        <v>215</v>
      </c>
      <c r="D121" s="5" t="s">
        <v>18</v>
      </c>
      <c r="E121" s="5" t="s">
        <v>695</v>
      </c>
      <c r="F121" s="5" t="s">
        <v>699</v>
      </c>
    </row>
    <row r="122" spans="1:6" x14ac:dyDescent="0.2">
      <c r="A122" s="5">
        <v>111173</v>
      </c>
      <c r="B122" s="5" t="s">
        <v>227</v>
      </c>
      <c r="C122" s="5" t="s">
        <v>215</v>
      </c>
      <c r="D122" s="5" t="s">
        <v>18</v>
      </c>
      <c r="E122" s="5" t="s">
        <v>695</v>
      </c>
      <c r="F122" s="5" t="s">
        <v>699</v>
      </c>
    </row>
    <row r="123" spans="1:6" x14ac:dyDescent="0.2">
      <c r="A123" s="5">
        <v>110732</v>
      </c>
      <c r="B123" s="5" t="s">
        <v>219</v>
      </c>
      <c r="C123" s="5" t="s">
        <v>215</v>
      </c>
      <c r="D123" s="5" t="s">
        <v>18</v>
      </c>
      <c r="E123" s="5" t="s">
        <v>695</v>
      </c>
      <c r="F123" s="5" t="s">
        <v>699</v>
      </c>
    </row>
    <row r="124" spans="1:6" x14ac:dyDescent="0.2">
      <c r="A124" s="5">
        <v>110676</v>
      </c>
      <c r="B124" s="5" t="s">
        <v>223</v>
      </c>
      <c r="C124" s="5" t="s">
        <v>215</v>
      </c>
      <c r="D124" s="5" t="s">
        <v>18</v>
      </c>
      <c r="E124" s="5" t="s">
        <v>695</v>
      </c>
      <c r="F124" s="5" t="s">
        <v>699</v>
      </c>
    </row>
    <row r="125" spans="1:6" x14ac:dyDescent="0.2">
      <c r="A125" s="5">
        <v>111135</v>
      </c>
      <c r="B125" s="5" t="s">
        <v>224</v>
      </c>
      <c r="C125" s="5" t="s">
        <v>215</v>
      </c>
      <c r="D125" s="5" t="s">
        <v>18</v>
      </c>
      <c r="E125" s="5" t="s">
        <v>695</v>
      </c>
      <c r="F125" s="5" t="s">
        <v>699</v>
      </c>
    </row>
    <row r="126" spans="1:6" x14ac:dyDescent="0.2">
      <c r="A126" s="5">
        <v>110994</v>
      </c>
      <c r="B126" s="5" t="s">
        <v>225</v>
      </c>
      <c r="C126" s="5" t="s">
        <v>215</v>
      </c>
      <c r="D126" s="5" t="s">
        <v>18</v>
      </c>
      <c r="E126" s="5" t="s">
        <v>695</v>
      </c>
      <c r="F126" s="5" t="s">
        <v>699</v>
      </c>
    </row>
    <row r="127" spans="1:6" x14ac:dyDescent="0.2">
      <c r="A127" s="5">
        <v>110475</v>
      </c>
      <c r="B127" s="5" t="s">
        <v>245</v>
      </c>
      <c r="C127" s="5" t="s">
        <v>234</v>
      </c>
      <c r="D127" s="5" t="s">
        <v>18</v>
      </c>
      <c r="E127" s="5" t="s">
        <v>695</v>
      </c>
      <c r="F127" s="5" t="s">
        <v>699</v>
      </c>
    </row>
    <row r="128" spans="1:6" x14ac:dyDescent="0.2">
      <c r="A128" s="5">
        <v>111159</v>
      </c>
      <c r="B128" s="5" t="s">
        <v>241</v>
      </c>
      <c r="C128" s="5" t="s">
        <v>234</v>
      </c>
      <c r="D128" s="5" t="s">
        <v>18</v>
      </c>
      <c r="E128" s="5" t="s">
        <v>695</v>
      </c>
      <c r="F128" s="5" t="s">
        <v>699</v>
      </c>
    </row>
    <row r="129" spans="1:6" x14ac:dyDescent="0.2">
      <c r="A129" s="5">
        <v>111168</v>
      </c>
      <c r="B129" s="5" t="s">
        <v>244</v>
      </c>
      <c r="C129" s="5" t="s">
        <v>234</v>
      </c>
      <c r="D129" s="5" t="s">
        <v>18</v>
      </c>
      <c r="E129" s="5" t="s">
        <v>695</v>
      </c>
      <c r="F129" s="5" t="s">
        <v>699</v>
      </c>
    </row>
    <row r="130" spans="1:6" x14ac:dyDescent="0.2">
      <c r="A130" s="5">
        <v>111210</v>
      </c>
      <c r="B130" s="5" t="s">
        <v>247</v>
      </c>
      <c r="C130" s="5" t="s">
        <v>234</v>
      </c>
      <c r="D130" s="5" t="s">
        <v>18</v>
      </c>
      <c r="E130" s="5" t="s">
        <v>695</v>
      </c>
      <c r="F130" s="5" t="s">
        <v>699</v>
      </c>
    </row>
    <row r="131" spans="1:6" x14ac:dyDescent="0.2">
      <c r="A131" s="5">
        <v>111155</v>
      </c>
      <c r="B131" s="5" t="s">
        <v>240</v>
      </c>
      <c r="C131" s="5" t="s">
        <v>234</v>
      </c>
      <c r="D131" s="5" t="s">
        <v>18</v>
      </c>
      <c r="E131" s="5" t="s">
        <v>695</v>
      </c>
      <c r="F131" s="5" t="s">
        <v>699</v>
      </c>
    </row>
    <row r="132" spans="1:6" x14ac:dyDescent="0.2">
      <c r="A132" s="5">
        <v>110795</v>
      </c>
      <c r="B132" s="5" t="s">
        <v>243</v>
      </c>
      <c r="C132" s="5" t="s">
        <v>234</v>
      </c>
      <c r="D132" s="5" t="s">
        <v>18</v>
      </c>
      <c r="E132" s="5" t="s">
        <v>695</v>
      </c>
      <c r="F132" s="5" t="s">
        <v>699</v>
      </c>
    </row>
    <row r="133" spans="1:6" x14ac:dyDescent="0.2">
      <c r="A133" s="5">
        <v>210169</v>
      </c>
      <c r="B133" s="5" t="s">
        <v>238</v>
      </c>
      <c r="C133" s="5" t="s">
        <v>234</v>
      </c>
      <c r="D133" s="5" t="s">
        <v>18</v>
      </c>
      <c r="E133" s="5" t="s">
        <v>695</v>
      </c>
      <c r="F133" s="5" t="s">
        <v>699</v>
      </c>
    </row>
    <row r="134" spans="1:6" x14ac:dyDescent="0.2">
      <c r="A134" s="5">
        <v>111208</v>
      </c>
      <c r="B134" s="5" t="s">
        <v>246</v>
      </c>
      <c r="C134" s="5" t="s">
        <v>234</v>
      </c>
      <c r="D134" s="5" t="s">
        <v>18</v>
      </c>
      <c r="E134" s="5" t="s">
        <v>695</v>
      </c>
      <c r="F134" s="5" t="s">
        <v>699</v>
      </c>
    </row>
    <row r="135" spans="1:6" x14ac:dyDescent="0.2">
      <c r="A135" s="5">
        <v>111222</v>
      </c>
      <c r="B135" s="5" t="s">
        <v>250</v>
      </c>
      <c r="C135" s="5" t="s">
        <v>234</v>
      </c>
      <c r="D135" s="5" t="s">
        <v>18</v>
      </c>
      <c r="E135" s="5" t="s">
        <v>695</v>
      </c>
      <c r="F135" s="5" t="s">
        <v>699</v>
      </c>
    </row>
    <row r="136" spans="1:6" x14ac:dyDescent="0.2">
      <c r="A136" s="5">
        <v>111220</v>
      </c>
      <c r="B136" s="5" t="s">
        <v>249</v>
      </c>
      <c r="C136" s="5" t="s">
        <v>234</v>
      </c>
      <c r="D136" s="5" t="s">
        <v>18</v>
      </c>
      <c r="E136" s="5" t="s">
        <v>695</v>
      </c>
      <c r="F136" s="5" t="s">
        <v>699</v>
      </c>
    </row>
    <row r="137" spans="1:6" x14ac:dyDescent="0.2">
      <c r="A137" s="5">
        <v>110822</v>
      </c>
      <c r="B137" s="5" t="s">
        <v>239</v>
      </c>
      <c r="C137" s="5" t="s">
        <v>234</v>
      </c>
      <c r="D137" s="5" t="s">
        <v>18</v>
      </c>
      <c r="E137" s="5" t="s">
        <v>695</v>
      </c>
      <c r="F137" s="5" t="s">
        <v>699</v>
      </c>
    </row>
    <row r="138" spans="1:6" x14ac:dyDescent="0.2">
      <c r="A138" s="5">
        <v>111232</v>
      </c>
      <c r="B138" s="5" t="s">
        <v>236</v>
      </c>
      <c r="C138" s="5" t="s">
        <v>234</v>
      </c>
      <c r="D138" s="5" t="s">
        <v>18</v>
      </c>
      <c r="E138" s="5" t="s">
        <v>695</v>
      </c>
      <c r="F138" s="5" t="s">
        <v>699</v>
      </c>
    </row>
    <row r="139" spans="1:6" x14ac:dyDescent="0.2">
      <c r="A139" s="5">
        <v>111243</v>
      </c>
      <c r="B139" s="5" t="s">
        <v>235</v>
      </c>
      <c r="C139" s="5" t="s">
        <v>234</v>
      </c>
      <c r="D139" s="5" t="s">
        <v>18</v>
      </c>
      <c r="E139" s="5" t="s">
        <v>695</v>
      </c>
      <c r="F139" s="5" t="s">
        <v>699</v>
      </c>
    </row>
    <row r="140" spans="1:6" x14ac:dyDescent="0.2">
      <c r="A140" s="5">
        <v>110965</v>
      </c>
      <c r="B140" s="5" t="s">
        <v>242</v>
      </c>
      <c r="C140" s="5" t="s">
        <v>234</v>
      </c>
      <c r="D140" s="5" t="s">
        <v>18</v>
      </c>
      <c r="E140" s="5" t="s">
        <v>695</v>
      </c>
      <c r="F140" s="5" t="s">
        <v>699</v>
      </c>
    </row>
    <row r="141" spans="1:6" x14ac:dyDescent="0.2">
      <c r="A141" s="5">
        <v>110486</v>
      </c>
      <c r="B141" s="5" t="s">
        <v>237</v>
      </c>
      <c r="C141" s="5" t="s">
        <v>234</v>
      </c>
      <c r="D141" s="5" t="s">
        <v>18</v>
      </c>
      <c r="E141" s="5" t="s">
        <v>695</v>
      </c>
      <c r="F141" s="5" t="s">
        <v>699</v>
      </c>
    </row>
    <row r="142" spans="1:6" x14ac:dyDescent="0.2">
      <c r="A142" s="5">
        <v>111218</v>
      </c>
      <c r="B142" s="5" t="s">
        <v>248</v>
      </c>
      <c r="C142" s="5" t="s">
        <v>234</v>
      </c>
      <c r="D142" s="5" t="s">
        <v>18</v>
      </c>
      <c r="E142" s="5" t="s">
        <v>695</v>
      </c>
      <c r="F142" s="5" t="s">
        <v>699</v>
      </c>
    </row>
    <row r="143" spans="1:6" x14ac:dyDescent="0.2">
      <c r="A143" s="5">
        <v>110852</v>
      </c>
      <c r="B143" s="5" t="s">
        <v>254</v>
      </c>
      <c r="C143" s="5" t="s">
        <v>251</v>
      </c>
      <c r="D143" s="5" t="s">
        <v>18</v>
      </c>
      <c r="E143" s="5" t="s">
        <v>695</v>
      </c>
      <c r="F143" s="5" t="s">
        <v>699</v>
      </c>
    </row>
    <row r="144" spans="1:6" x14ac:dyDescent="0.2">
      <c r="A144" s="5">
        <v>111197</v>
      </c>
      <c r="B144" s="5" t="s">
        <v>261</v>
      </c>
      <c r="C144" s="5" t="s">
        <v>251</v>
      </c>
      <c r="D144" s="5" t="s">
        <v>18</v>
      </c>
      <c r="E144" s="5" t="s">
        <v>695</v>
      </c>
      <c r="F144" s="5" t="s">
        <v>699</v>
      </c>
    </row>
    <row r="145" spans="1:6" x14ac:dyDescent="0.2">
      <c r="A145" s="5">
        <v>111123</v>
      </c>
      <c r="B145" s="5" t="s">
        <v>255</v>
      </c>
      <c r="C145" s="5" t="s">
        <v>251</v>
      </c>
      <c r="D145" s="5" t="s">
        <v>18</v>
      </c>
      <c r="E145" s="5" t="s">
        <v>695</v>
      </c>
      <c r="F145" s="5" t="s">
        <v>699</v>
      </c>
    </row>
    <row r="146" spans="1:6" x14ac:dyDescent="0.2">
      <c r="A146" s="5">
        <v>110790</v>
      </c>
      <c r="B146" s="5" t="s">
        <v>257</v>
      </c>
      <c r="C146" s="5" t="s">
        <v>251</v>
      </c>
      <c r="D146" s="5" t="s">
        <v>18</v>
      </c>
      <c r="E146" s="5" t="s">
        <v>695</v>
      </c>
      <c r="F146" s="5" t="s">
        <v>699</v>
      </c>
    </row>
    <row r="147" spans="1:6" x14ac:dyDescent="0.2">
      <c r="A147" s="5">
        <v>111202</v>
      </c>
      <c r="B147" s="5" t="s">
        <v>263</v>
      </c>
      <c r="C147" s="5" t="s">
        <v>251</v>
      </c>
      <c r="D147" s="5" t="s">
        <v>18</v>
      </c>
      <c r="E147" s="5" t="s">
        <v>695</v>
      </c>
      <c r="F147" s="5" t="s">
        <v>699</v>
      </c>
    </row>
    <row r="148" spans="1:6" x14ac:dyDescent="0.2">
      <c r="A148" s="5">
        <v>210482</v>
      </c>
      <c r="B148" s="5" t="s">
        <v>741</v>
      </c>
      <c r="C148" s="5" t="s">
        <v>251</v>
      </c>
      <c r="D148" s="5" t="s">
        <v>18</v>
      </c>
      <c r="E148" s="5" t="s">
        <v>695</v>
      </c>
      <c r="F148" s="5" t="s">
        <v>699</v>
      </c>
    </row>
    <row r="149" spans="1:6" x14ac:dyDescent="0.2">
      <c r="A149" s="5">
        <v>111219</v>
      </c>
      <c r="B149" s="5" t="s">
        <v>264</v>
      </c>
      <c r="C149" s="5" t="s">
        <v>251</v>
      </c>
      <c r="D149" s="5" t="s">
        <v>18</v>
      </c>
      <c r="E149" s="5" t="s">
        <v>695</v>
      </c>
      <c r="F149" s="5" t="s">
        <v>699</v>
      </c>
    </row>
    <row r="150" spans="1:6" x14ac:dyDescent="0.2">
      <c r="A150" s="5">
        <v>111200</v>
      </c>
      <c r="B150" s="5" t="s">
        <v>262</v>
      </c>
      <c r="C150" s="5" t="s">
        <v>251</v>
      </c>
      <c r="D150" s="5" t="s">
        <v>18</v>
      </c>
      <c r="E150" s="5" t="s">
        <v>695</v>
      </c>
      <c r="F150" s="5" t="s">
        <v>699</v>
      </c>
    </row>
    <row r="151" spans="1:6" x14ac:dyDescent="0.2">
      <c r="A151" s="5">
        <v>111262</v>
      </c>
      <c r="B151" s="5" t="s">
        <v>266</v>
      </c>
      <c r="C151" s="5" t="s">
        <v>251</v>
      </c>
      <c r="D151" s="5" t="s">
        <v>18</v>
      </c>
      <c r="E151" s="5" t="s">
        <v>695</v>
      </c>
      <c r="F151" s="5" t="s">
        <v>699</v>
      </c>
    </row>
    <row r="152" spans="1:6" x14ac:dyDescent="0.2">
      <c r="A152" s="5">
        <v>111249</v>
      </c>
      <c r="B152" s="5" t="s">
        <v>252</v>
      </c>
      <c r="C152" s="5" t="s">
        <v>251</v>
      </c>
      <c r="D152" s="5" t="s">
        <v>18</v>
      </c>
      <c r="E152" s="5" t="s">
        <v>695</v>
      </c>
      <c r="F152" s="5" t="s">
        <v>699</v>
      </c>
    </row>
    <row r="153" spans="1:6" x14ac:dyDescent="0.2">
      <c r="A153" s="5">
        <v>210152</v>
      </c>
      <c r="B153" s="5" t="s">
        <v>256</v>
      </c>
      <c r="C153" s="5" t="s">
        <v>251</v>
      </c>
      <c r="D153" s="5" t="s">
        <v>18</v>
      </c>
      <c r="E153" s="5" t="s">
        <v>695</v>
      </c>
      <c r="F153" s="5" t="s">
        <v>699</v>
      </c>
    </row>
    <row r="154" spans="1:6" x14ac:dyDescent="0.2">
      <c r="A154" s="5">
        <v>110389</v>
      </c>
      <c r="B154" s="5" t="s">
        <v>253</v>
      </c>
      <c r="C154" s="5" t="s">
        <v>251</v>
      </c>
      <c r="D154" s="5" t="s">
        <v>18</v>
      </c>
      <c r="E154" s="5" t="s">
        <v>695</v>
      </c>
      <c r="F154" s="5" t="s">
        <v>699</v>
      </c>
    </row>
    <row r="155" spans="1:6" x14ac:dyDescent="0.2">
      <c r="A155" s="5">
        <v>210096</v>
      </c>
      <c r="B155" s="5" t="s">
        <v>259</v>
      </c>
      <c r="C155" s="5" t="s">
        <v>251</v>
      </c>
      <c r="D155" s="5" t="s">
        <v>18</v>
      </c>
      <c r="E155" s="5" t="s">
        <v>695</v>
      </c>
      <c r="F155" s="5" t="s">
        <v>699</v>
      </c>
    </row>
    <row r="156" spans="1:6" x14ac:dyDescent="0.2">
      <c r="A156" s="5">
        <v>111257</v>
      </c>
      <c r="B156" s="5" t="s">
        <v>265</v>
      </c>
      <c r="C156" s="5" t="s">
        <v>251</v>
      </c>
      <c r="D156" s="5" t="s">
        <v>18</v>
      </c>
      <c r="E156" s="5" t="s">
        <v>695</v>
      </c>
      <c r="F156" s="5" t="s">
        <v>699</v>
      </c>
    </row>
    <row r="157" spans="1:6" x14ac:dyDescent="0.2">
      <c r="A157" s="5">
        <v>210042</v>
      </c>
      <c r="B157" s="5" t="s">
        <v>260</v>
      </c>
      <c r="C157" s="5" t="s">
        <v>251</v>
      </c>
      <c r="D157" s="5" t="s">
        <v>18</v>
      </c>
      <c r="E157" s="5" t="s">
        <v>695</v>
      </c>
      <c r="F157" s="5" t="s">
        <v>699</v>
      </c>
    </row>
    <row r="158" spans="1:6" x14ac:dyDescent="0.2">
      <c r="A158" s="5">
        <v>210401</v>
      </c>
      <c r="B158" s="5" t="s">
        <v>258</v>
      </c>
      <c r="C158" s="5" t="s">
        <v>251</v>
      </c>
      <c r="D158" s="5" t="s">
        <v>18</v>
      </c>
      <c r="E158" s="5" t="s">
        <v>695</v>
      </c>
      <c r="F158" s="5" t="s">
        <v>699</v>
      </c>
    </row>
    <row r="159" spans="1:6" x14ac:dyDescent="0.2">
      <c r="A159" s="5">
        <v>111246</v>
      </c>
      <c r="B159" s="5" t="s">
        <v>742</v>
      </c>
      <c r="C159" s="5" t="s">
        <v>267</v>
      </c>
      <c r="D159" s="5" t="s">
        <v>18</v>
      </c>
      <c r="E159" s="5" t="s">
        <v>695</v>
      </c>
      <c r="F159" s="5" t="s">
        <v>699</v>
      </c>
    </row>
    <row r="160" spans="1:6" x14ac:dyDescent="0.2">
      <c r="A160" s="5">
        <v>110825</v>
      </c>
      <c r="B160" s="5" t="s">
        <v>276</v>
      </c>
      <c r="C160" s="5" t="s">
        <v>267</v>
      </c>
      <c r="D160" s="5" t="s">
        <v>18</v>
      </c>
      <c r="E160" s="5" t="s">
        <v>695</v>
      </c>
      <c r="F160" s="5" t="s">
        <v>699</v>
      </c>
    </row>
    <row r="161" spans="1:6" x14ac:dyDescent="0.2">
      <c r="A161" s="5">
        <v>110626</v>
      </c>
      <c r="B161" s="5" t="s">
        <v>273</v>
      </c>
      <c r="C161" s="5" t="s">
        <v>267</v>
      </c>
      <c r="D161" s="5" t="s">
        <v>18</v>
      </c>
      <c r="E161" s="5" t="s">
        <v>695</v>
      </c>
      <c r="F161" s="5" t="s">
        <v>699</v>
      </c>
    </row>
    <row r="162" spans="1:6" x14ac:dyDescent="0.2">
      <c r="A162" s="5">
        <v>111245</v>
      </c>
      <c r="B162" s="5" t="s">
        <v>268</v>
      </c>
      <c r="C162" s="5" t="s">
        <v>267</v>
      </c>
      <c r="D162" s="5" t="s">
        <v>18</v>
      </c>
      <c r="E162" s="5" t="s">
        <v>695</v>
      </c>
      <c r="F162" s="5" t="s">
        <v>699</v>
      </c>
    </row>
    <row r="163" spans="1:6" x14ac:dyDescent="0.2">
      <c r="A163" s="5">
        <v>111263</v>
      </c>
      <c r="B163" s="5" t="s">
        <v>284</v>
      </c>
      <c r="C163" s="5" t="s">
        <v>267</v>
      </c>
      <c r="D163" s="5" t="s">
        <v>18</v>
      </c>
      <c r="E163" s="5" t="s">
        <v>695</v>
      </c>
      <c r="F163" s="5" t="s">
        <v>699</v>
      </c>
    </row>
    <row r="164" spans="1:6" x14ac:dyDescent="0.2">
      <c r="A164" s="5">
        <v>110838</v>
      </c>
      <c r="B164" s="5" t="s">
        <v>271</v>
      </c>
      <c r="C164" s="5" t="s">
        <v>267</v>
      </c>
      <c r="D164" s="5" t="s">
        <v>18</v>
      </c>
      <c r="E164" s="5" t="s">
        <v>695</v>
      </c>
      <c r="F164" s="5" t="s">
        <v>699</v>
      </c>
    </row>
    <row r="165" spans="1:6" x14ac:dyDescent="0.2">
      <c r="A165" s="5">
        <v>210022</v>
      </c>
      <c r="B165" s="5" t="s">
        <v>275</v>
      </c>
      <c r="C165" s="5" t="s">
        <v>267</v>
      </c>
      <c r="D165" s="5" t="s">
        <v>18</v>
      </c>
      <c r="E165" s="5" t="s">
        <v>695</v>
      </c>
      <c r="F165" s="5" t="s">
        <v>699</v>
      </c>
    </row>
    <row r="166" spans="1:6" x14ac:dyDescent="0.2">
      <c r="A166" s="5">
        <v>111239</v>
      </c>
      <c r="B166" s="5" t="s">
        <v>282</v>
      </c>
      <c r="C166" s="5" t="s">
        <v>267</v>
      </c>
      <c r="D166" s="5" t="s">
        <v>18</v>
      </c>
      <c r="E166" s="5" t="s">
        <v>695</v>
      </c>
      <c r="F166" s="5" t="s">
        <v>699</v>
      </c>
    </row>
    <row r="167" spans="1:6" x14ac:dyDescent="0.2">
      <c r="A167" s="5">
        <v>111204</v>
      </c>
      <c r="B167" s="5" t="s">
        <v>281</v>
      </c>
      <c r="C167" s="5" t="s">
        <v>267</v>
      </c>
      <c r="D167" s="5" t="s">
        <v>18</v>
      </c>
      <c r="E167" s="5" t="s">
        <v>695</v>
      </c>
      <c r="F167" s="5" t="s">
        <v>699</v>
      </c>
    </row>
    <row r="168" spans="1:6" x14ac:dyDescent="0.2">
      <c r="A168" s="5">
        <v>110399</v>
      </c>
      <c r="B168" s="5" t="s">
        <v>277</v>
      </c>
      <c r="C168" s="5" t="s">
        <v>267</v>
      </c>
      <c r="D168" s="5" t="s">
        <v>18</v>
      </c>
      <c r="E168" s="5" t="s">
        <v>695</v>
      </c>
      <c r="F168" s="5" t="s">
        <v>699</v>
      </c>
    </row>
    <row r="169" spans="1:6" x14ac:dyDescent="0.2">
      <c r="A169" s="5">
        <v>110677</v>
      </c>
      <c r="B169" s="5" t="s">
        <v>272</v>
      </c>
      <c r="C169" s="5" t="s">
        <v>267</v>
      </c>
      <c r="D169" s="5" t="s">
        <v>18</v>
      </c>
      <c r="E169" s="5" t="s">
        <v>695</v>
      </c>
      <c r="F169" s="5" t="s">
        <v>699</v>
      </c>
    </row>
    <row r="170" spans="1:6" x14ac:dyDescent="0.2">
      <c r="A170" s="5">
        <v>111182</v>
      </c>
      <c r="B170" s="5" t="s">
        <v>280</v>
      </c>
      <c r="C170" s="5" t="s">
        <v>267</v>
      </c>
      <c r="D170" s="5" t="s">
        <v>18</v>
      </c>
      <c r="E170" s="5" t="s">
        <v>695</v>
      </c>
      <c r="F170" s="5" t="s">
        <v>699</v>
      </c>
    </row>
    <row r="171" spans="1:6" x14ac:dyDescent="0.2">
      <c r="A171" s="5">
        <v>111256</v>
      </c>
      <c r="B171" s="5" t="s">
        <v>283</v>
      </c>
      <c r="C171" s="5" t="s">
        <v>267</v>
      </c>
      <c r="D171" s="5" t="s">
        <v>18</v>
      </c>
      <c r="E171" s="5" t="s">
        <v>695</v>
      </c>
      <c r="F171" s="5" t="s">
        <v>699</v>
      </c>
    </row>
    <row r="172" spans="1:6" x14ac:dyDescent="0.2">
      <c r="A172" s="5">
        <v>110875</v>
      </c>
      <c r="B172" s="5" t="s">
        <v>279</v>
      </c>
      <c r="C172" s="5" t="s">
        <v>267</v>
      </c>
      <c r="D172" s="5" t="s">
        <v>18</v>
      </c>
      <c r="E172" s="5" t="s">
        <v>695</v>
      </c>
      <c r="F172" s="5" t="s">
        <v>699</v>
      </c>
    </row>
    <row r="173" spans="1:6" x14ac:dyDescent="0.2">
      <c r="A173" s="5">
        <v>110377</v>
      </c>
      <c r="B173" s="5" t="s">
        <v>274</v>
      </c>
      <c r="C173" s="5" t="s">
        <v>267</v>
      </c>
      <c r="D173" s="5" t="s">
        <v>18</v>
      </c>
      <c r="E173" s="5" t="s">
        <v>695</v>
      </c>
      <c r="F173" s="5" t="s">
        <v>699</v>
      </c>
    </row>
    <row r="174" spans="1:6" x14ac:dyDescent="0.2">
      <c r="A174" s="5">
        <v>111072</v>
      </c>
      <c r="B174" s="5" t="s">
        <v>270</v>
      </c>
      <c r="C174" s="5" t="s">
        <v>267</v>
      </c>
      <c r="D174" s="5" t="s">
        <v>18</v>
      </c>
      <c r="E174" s="5" t="s">
        <v>695</v>
      </c>
      <c r="F174" s="5" t="s">
        <v>699</v>
      </c>
    </row>
    <row r="175" spans="1:6" x14ac:dyDescent="0.2">
      <c r="A175" s="5">
        <v>210413</v>
      </c>
      <c r="B175" s="5" t="s">
        <v>278</v>
      </c>
      <c r="C175" s="5" t="s">
        <v>267</v>
      </c>
      <c r="D175" s="5" t="s">
        <v>18</v>
      </c>
      <c r="E175" s="5" t="s">
        <v>695</v>
      </c>
      <c r="F175" s="5" t="s">
        <v>699</v>
      </c>
    </row>
    <row r="176" spans="1:6" x14ac:dyDescent="0.2">
      <c r="A176" s="5">
        <v>111244</v>
      </c>
      <c r="B176" s="5" t="s">
        <v>269</v>
      </c>
      <c r="C176" s="5" t="s">
        <v>267</v>
      </c>
      <c r="D176" s="5" t="s">
        <v>18</v>
      </c>
      <c r="E176" s="5" t="s">
        <v>695</v>
      </c>
      <c r="F176" s="5" t="s">
        <v>699</v>
      </c>
    </row>
    <row r="177" spans="1:6" x14ac:dyDescent="0.2">
      <c r="A177" s="5">
        <v>111212</v>
      </c>
      <c r="B177" s="5" t="s">
        <v>300</v>
      </c>
      <c r="C177" s="5" t="s">
        <v>285</v>
      </c>
      <c r="D177" s="5" t="s">
        <v>18</v>
      </c>
      <c r="E177" s="5" t="s">
        <v>695</v>
      </c>
      <c r="F177" s="5" t="s">
        <v>699</v>
      </c>
    </row>
    <row r="178" spans="1:6" x14ac:dyDescent="0.2">
      <c r="A178" s="5">
        <v>111253</v>
      </c>
      <c r="B178" s="5" t="s">
        <v>301</v>
      </c>
      <c r="C178" s="5" t="s">
        <v>285</v>
      </c>
      <c r="D178" s="5" t="s">
        <v>18</v>
      </c>
      <c r="E178" s="5" t="s">
        <v>695</v>
      </c>
      <c r="F178" s="5" t="s">
        <v>699</v>
      </c>
    </row>
    <row r="179" spans="1:6" x14ac:dyDescent="0.2">
      <c r="A179" s="5">
        <v>111175</v>
      </c>
      <c r="B179" s="5" t="s">
        <v>298</v>
      </c>
      <c r="C179" s="5" t="s">
        <v>285</v>
      </c>
      <c r="D179" s="5" t="s">
        <v>18</v>
      </c>
      <c r="E179" s="5" t="s">
        <v>695</v>
      </c>
      <c r="F179" s="5" t="s">
        <v>699</v>
      </c>
    </row>
    <row r="180" spans="1:6" x14ac:dyDescent="0.2">
      <c r="A180" s="5">
        <v>111211</v>
      </c>
      <c r="B180" s="5" t="s">
        <v>299</v>
      </c>
      <c r="C180" s="5" t="s">
        <v>285</v>
      </c>
      <c r="D180" s="5" t="s">
        <v>18</v>
      </c>
      <c r="E180" s="5" t="s">
        <v>695</v>
      </c>
      <c r="F180" s="5" t="s">
        <v>699</v>
      </c>
    </row>
    <row r="181" spans="1:6" x14ac:dyDescent="0.2">
      <c r="A181" s="5">
        <v>110430</v>
      </c>
      <c r="B181" s="5" t="s">
        <v>292</v>
      </c>
      <c r="C181" s="5" t="s">
        <v>285</v>
      </c>
      <c r="D181" s="5" t="s">
        <v>18</v>
      </c>
      <c r="E181" s="5" t="s">
        <v>695</v>
      </c>
      <c r="F181" s="5" t="s">
        <v>699</v>
      </c>
    </row>
    <row r="182" spans="1:6" x14ac:dyDescent="0.2">
      <c r="A182" s="5">
        <v>110617</v>
      </c>
      <c r="B182" s="5" t="s">
        <v>297</v>
      </c>
      <c r="C182" s="5" t="s">
        <v>285</v>
      </c>
      <c r="D182" s="5" t="s">
        <v>18</v>
      </c>
      <c r="E182" s="5" t="s">
        <v>695</v>
      </c>
      <c r="F182" s="5" t="s">
        <v>699</v>
      </c>
    </row>
    <row r="183" spans="1:6" x14ac:dyDescent="0.2">
      <c r="A183" s="5">
        <v>110938</v>
      </c>
      <c r="B183" s="5" t="s">
        <v>291</v>
      </c>
      <c r="C183" s="5" t="s">
        <v>285</v>
      </c>
      <c r="D183" s="5" t="s">
        <v>18</v>
      </c>
      <c r="E183" s="5" t="s">
        <v>695</v>
      </c>
      <c r="F183" s="5" t="s">
        <v>699</v>
      </c>
    </row>
    <row r="184" spans="1:6" x14ac:dyDescent="0.2">
      <c r="A184" s="5">
        <v>110742</v>
      </c>
      <c r="B184" s="5" t="s">
        <v>290</v>
      </c>
      <c r="C184" s="5" t="s">
        <v>285</v>
      </c>
      <c r="D184" s="5" t="s">
        <v>18</v>
      </c>
      <c r="E184" s="5" t="s">
        <v>695</v>
      </c>
      <c r="F184" s="5" t="s">
        <v>699</v>
      </c>
    </row>
    <row r="185" spans="1:6" x14ac:dyDescent="0.2">
      <c r="A185" s="5">
        <v>111241</v>
      </c>
      <c r="B185" s="5" t="s">
        <v>287</v>
      </c>
      <c r="C185" s="5" t="s">
        <v>285</v>
      </c>
      <c r="D185" s="5" t="s">
        <v>18</v>
      </c>
      <c r="E185" s="5" t="s">
        <v>695</v>
      </c>
      <c r="F185" s="5" t="s">
        <v>699</v>
      </c>
    </row>
    <row r="186" spans="1:6" x14ac:dyDescent="0.2">
      <c r="A186" s="5">
        <v>210162</v>
      </c>
      <c r="B186" s="5" t="s">
        <v>289</v>
      </c>
      <c r="C186" s="5" t="s">
        <v>285</v>
      </c>
      <c r="D186" s="5" t="s">
        <v>18</v>
      </c>
      <c r="E186" s="5" t="s">
        <v>695</v>
      </c>
      <c r="F186" s="5" t="s">
        <v>699</v>
      </c>
    </row>
    <row r="187" spans="1:6" x14ac:dyDescent="0.2">
      <c r="A187" s="5">
        <v>110970</v>
      </c>
      <c r="B187" s="5" t="s">
        <v>293</v>
      </c>
      <c r="C187" s="5" t="s">
        <v>285</v>
      </c>
      <c r="D187" s="5" t="s">
        <v>18</v>
      </c>
      <c r="E187" s="5" t="s">
        <v>695</v>
      </c>
      <c r="F187" s="5" t="s">
        <v>699</v>
      </c>
    </row>
    <row r="188" spans="1:6" x14ac:dyDescent="0.2">
      <c r="A188" s="5">
        <v>110403</v>
      </c>
      <c r="B188" s="5" t="s">
        <v>294</v>
      </c>
      <c r="C188" s="5" t="s">
        <v>285</v>
      </c>
      <c r="D188" s="5" t="s">
        <v>18</v>
      </c>
      <c r="E188" s="5" t="s">
        <v>695</v>
      </c>
      <c r="F188" s="5" t="s">
        <v>699</v>
      </c>
    </row>
    <row r="189" spans="1:6" x14ac:dyDescent="0.2">
      <c r="A189" s="5">
        <v>111027</v>
      </c>
      <c r="B189" s="5" t="s">
        <v>288</v>
      </c>
      <c r="C189" s="5" t="s">
        <v>285</v>
      </c>
      <c r="D189" s="5" t="s">
        <v>18</v>
      </c>
      <c r="E189" s="5" t="s">
        <v>695</v>
      </c>
      <c r="F189" s="5" t="s">
        <v>699</v>
      </c>
    </row>
    <row r="190" spans="1:6" x14ac:dyDescent="0.2">
      <c r="A190" s="5">
        <v>111121</v>
      </c>
      <c r="B190" s="5" t="s">
        <v>295</v>
      </c>
      <c r="C190" s="5" t="s">
        <v>285</v>
      </c>
      <c r="D190" s="5" t="s">
        <v>18</v>
      </c>
      <c r="E190" s="5" t="s">
        <v>695</v>
      </c>
      <c r="F190" s="5" t="s">
        <v>699</v>
      </c>
    </row>
    <row r="191" spans="1:6" x14ac:dyDescent="0.2">
      <c r="A191" s="5">
        <v>111240</v>
      </c>
      <c r="B191" s="5" t="s">
        <v>286</v>
      </c>
      <c r="C191" s="5" t="s">
        <v>285</v>
      </c>
      <c r="D191" s="5" t="s">
        <v>18</v>
      </c>
      <c r="E191" s="5" t="s">
        <v>695</v>
      </c>
      <c r="F191" s="5" t="s">
        <v>699</v>
      </c>
    </row>
    <row r="192" spans="1:6" x14ac:dyDescent="0.2">
      <c r="A192" s="5">
        <v>110917</v>
      </c>
      <c r="B192" s="5" t="s">
        <v>743</v>
      </c>
      <c r="C192" s="5" t="s">
        <v>285</v>
      </c>
      <c r="D192" s="5" t="s">
        <v>18</v>
      </c>
      <c r="E192" s="5" t="s">
        <v>695</v>
      </c>
      <c r="F192" s="5" t="s">
        <v>699</v>
      </c>
    </row>
    <row r="193" spans="1:6" x14ac:dyDescent="0.2">
      <c r="A193" s="5">
        <v>111131</v>
      </c>
      <c r="B193" s="5" t="s">
        <v>296</v>
      </c>
      <c r="C193" s="5" t="s">
        <v>285</v>
      </c>
      <c r="D193" s="5" t="s">
        <v>18</v>
      </c>
      <c r="E193" s="5" t="s">
        <v>695</v>
      </c>
      <c r="F193" s="5" t="s">
        <v>699</v>
      </c>
    </row>
    <row r="194" spans="1:6" x14ac:dyDescent="0.2">
      <c r="A194" s="5">
        <v>111167</v>
      </c>
      <c r="B194" s="5" t="s">
        <v>317</v>
      </c>
      <c r="C194" s="5" t="s">
        <v>302</v>
      </c>
      <c r="D194" s="5" t="s">
        <v>18</v>
      </c>
      <c r="E194" s="5" t="s">
        <v>695</v>
      </c>
      <c r="F194" s="5" t="s">
        <v>699</v>
      </c>
    </row>
    <row r="195" spans="1:6" x14ac:dyDescent="0.2">
      <c r="A195" s="5">
        <v>110539</v>
      </c>
      <c r="B195" s="5" t="s">
        <v>318</v>
      </c>
      <c r="C195" s="5" t="s">
        <v>302</v>
      </c>
      <c r="D195" s="5" t="s">
        <v>18</v>
      </c>
      <c r="E195" s="5" t="s">
        <v>695</v>
      </c>
      <c r="F195" s="5" t="s">
        <v>699</v>
      </c>
    </row>
    <row r="196" spans="1:6" x14ac:dyDescent="0.2">
      <c r="A196" s="5">
        <v>111031</v>
      </c>
      <c r="B196" s="5" t="s">
        <v>311</v>
      </c>
      <c r="C196" s="5" t="s">
        <v>302</v>
      </c>
      <c r="D196" s="5" t="s">
        <v>18</v>
      </c>
      <c r="E196" s="5" t="s">
        <v>695</v>
      </c>
      <c r="F196" s="5" t="s">
        <v>699</v>
      </c>
    </row>
    <row r="197" spans="1:6" x14ac:dyDescent="0.2">
      <c r="A197" s="5">
        <v>111163</v>
      </c>
      <c r="B197" s="5" t="s">
        <v>316</v>
      </c>
      <c r="C197" s="5" t="s">
        <v>302</v>
      </c>
      <c r="D197" s="5" t="s">
        <v>18</v>
      </c>
      <c r="E197" s="5" t="s">
        <v>695</v>
      </c>
      <c r="F197" s="5" t="s">
        <v>699</v>
      </c>
    </row>
    <row r="198" spans="1:6" x14ac:dyDescent="0.2">
      <c r="A198" s="5">
        <v>111251</v>
      </c>
      <c r="B198" s="5" t="s">
        <v>303</v>
      </c>
      <c r="C198" s="5" t="s">
        <v>302</v>
      </c>
      <c r="D198" s="5" t="s">
        <v>18</v>
      </c>
      <c r="E198" s="5" t="s">
        <v>695</v>
      </c>
      <c r="F198" s="5" t="s">
        <v>699</v>
      </c>
    </row>
    <row r="199" spans="1:6" x14ac:dyDescent="0.2">
      <c r="A199" s="5">
        <v>110457</v>
      </c>
      <c r="B199" s="5" t="s">
        <v>309</v>
      </c>
      <c r="C199" s="5" t="s">
        <v>302</v>
      </c>
      <c r="D199" s="5" t="s">
        <v>18</v>
      </c>
      <c r="E199" s="5" t="s">
        <v>695</v>
      </c>
      <c r="F199" s="5" t="s">
        <v>699</v>
      </c>
    </row>
    <row r="200" spans="1:6" x14ac:dyDescent="0.2">
      <c r="A200" s="5">
        <v>210163</v>
      </c>
      <c r="B200" s="5" t="s">
        <v>313</v>
      </c>
      <c r="C200" s="5" t="s">
        <v>302</v>
      </c>
      <c r="D200" s="5" t="s">
        <v>18</v>
      </c>
      <c r="E200" s="5" t="s">
        <v>695</v>
      </c>
      <c r="F200" s="5" t="s">
        <v>699</v>
      </c>
    </row>
    <row r="201" spans="1:6" x14ac:dyDescent="0.2">
      <c r="A201" s="5">
        <v>210057</v>
      </c>
      <c r="B201" s="5" t="s">
        <v>312</v>
      </c>
      <c r="C201" s="5" t="s">
        <v>302</v>
      </c>
      <c r="D201" s="5" t="s">
        <v>18</v>
      </c>
      <c r="E201" s="5" t="s">
        <v>695</v>
      </c>
      <c r="F201" s="5" t="s">
        <v>699</v>
      </c>
    </row>
    <row r="202" spans="1:6" x14ac:dyDescent="0.2">
      <c r="A202" s="5">
        <v>111112</v>
      </c>
      <c r="B202" s="5" t="s">
        <v>310</v>
      </c>
      <c r="C202" s="5" t="s">
        <v>302</v>
      </c>
      <c r="D202" s="5" t="s">
        <v>18</v>
      </c>
      <c r="E202" s="5" t="s">
        <v>695</v>
      </c>
      <c r="F202" s="5" t="s">
        <v>699</v>
      </c>
    </row>
    <row r="203" spans="1:6" x14ac:dyDescent="0.2">
      <c r="A203" s="5">
        <v>111050</v>
      </c>
      <c r="B203" s="5" t="s">
        <v>314</v>
      </c>
      <c r="C203" s="5" t="s">
        <v>302</v>
      </c>
      <c r="D203" s="5" t="s">
        <v>18</v>
      </c>
      <c r="E203" s="5" t="s">
        <v>99</v>
      </c>
      <c r="F203" s="5" t="s">
        <v>699</v>
      </c>
    </row>
    <row r="204" spans="1:6" x14ac:dyDescent="0.2">
      <c r="A204" s="5">
        <v>110564</v>
      </c>
      <c r="B204" s="5" t="s">
        <v>305</v>
      </c>
      <c r="C204" s="5" t="s">
        <v>302</v>
      </c>
      <c r="D204" s="5" t="s">
        <v>18</v>
      </c>
      <c r="E204" s="5" t="s">
        <v>695</v>
      </c>
      <c r="F204" s="5" t="s">
        <v>699</v>
      </c>
    </row>
    <row r="205" spans="1:6" x14ac:dyDescent="0.2">
      <c r="A205" s="5">
        <v>110827</v>
      </c>
      <c r="B205" s="5" t="s">
        <v>308</v>
      </c>
      <c r="C205" s="5" t="s">
        <v>302</v>
      </c>
      <c r="D205" s="5" t="s">
        <v>18</v>
      </c>
      <c r="E205" s="5" t="s">
        <v>695</v>
      </c>
      <c r="F205" s="5" t="s">
        <v>699</v>
      </c>
    </row>
    <row r="206" spans="1:6" x14ac:dyDescent="0.2">
      <c r="A206" s="5">
        <v>111049</v>
      </c>
      <c r="B206" s="5" t="s">
        <v>315</v>
      </c>
      <c r="C206" s="5" t="s">
        <v>302</v>
      </c>
      <c r="D206" s="5" t="s">
        <v>18</v>
      </c>
      <c r="E206" s="5" t="s">
        <v>695</v>
      </c>
      <c r="F206" s="5" t="s">
        <v>699</v>
      </c>
    </row>
    <row r="207" spans="1:6" x14ac:dyDescent="0.2">
      <c r="A207" s="5">
        <v>110484</v>
      </c>
      <c r="B207" s="5" t="s">
        <v>307</v>
      </c>
      <c r="C207" s="5" t="s">
        <v>302</v>
      </c>
      <c r="D207" s="5" t="s">
        <v>18</v>
      </c>
      <c r="E207" s="5" t="s">
        <v>695</v>
      </c>
      <c r="F207" s="5" t="s">
        <v>699</v>
      </c>
    </row>
    <row r="208" spans="1:6" x14ac:dyDescent="0.2">
      <c r="A208" s="5">
        <v>111214</v>
      </c>
      <c r="B208" s="5" t="s">
        <v>304</v>
      </c>
      <c r="C208" s="5" t="s">
        <v>302</v>
      </c>
      <c r="D208" s="5" t="s">
        <v>18</v>
      </c>
      <c r="E208" s="5" t="s">
        <v>695</v>
      </c>
      <c r="F208" s="5" t="s">
        <v>699</v>
      </c>
    </row>
    <row r="209" spans="1:6" x14ac:dyDescent="0.2">
      <c r="A209" s="5">
        <v>111111</v>
      </c>
      <c r="B209" s="5" t="s">
        <v>306</v>
      </c>
      <c r="C209" s="5" t="s">
        <v>302</v>
      </c>
      <c r="D209" s="5" t="s">
        <v>18</v>
      </c>
      <c r="E209" s="5" t="s">
        <v>695</v>
      </c>
      <c r="F209" s="5" t="s">
        <v>699</v>
      </c>
    </row>
    <row r="210" spans="1:6" x14ac:dyDescent="0.2">
      <c r="A210" s="5">
        <v>111252</v>
      </c>
      <c r="B210" s="5" t="s">
        <v>319</v>
      </c>
      <c r="C210" s="5" t="s">
        <v>302</v>
      </c>
      <c r="D210" s="5" t="s">
        <v>18</v>
      </c>
      <c r="E210" s="5" t="s">
        <v>695</v>
      </c>
      <c r="F210" s="5" t="s">
        <v>699</v>
      </c>
    </row>
    <row r="211" spans="1:6" x14ac:dyDescent="0.2">
      <c r="A211" s="5">
        <v>111278</v>
      </c>
      <c r="B211" s="5" t="s">
        <v>686</v>
      </c>
      <c r="C211" s="5" t="s">
        <v>162</v>
      </c>
      <c r="D211" s="5" t="s">
        <v>18</v>
      </c>
      <c r="E211" s="5" t="s">
        <v>695</v>
      </c>
      <c r="F211" s="5" t="s">
        <v>699</v>
      </c>
    </row>
    <row r="212" spans="1:6" x14ac:dyDescent="0.2">
      <c r="A212" s="5">
        <v>111282</v>
      </c>
      <c r="B212" s="5" t="s">
        <v>690</v>
      </c>
      <c r="C212" s="5" t="s">
        <v>215</v>
      </c>
      <c r="D212" s="5" t="s">
        <v>18</v>
      </c>
      <c r="E212" s="5" t="s">
        <v>695</v>
      </c>
      <c r="F212" s="5" t="s">
        <v>699</v>
      </c>
    </row>
    <row r="213" spans="1:6" x14ac:dyDescent="0.2">
      <c r="A213" s="5">
        <v>111272</v>
      </c>
      <c r="B213" s="5" t="s">
        <v>680</v>
      </c>
      <c r="C213" s="5" t="s">
        <v>285</v>
      </c>
      <c r="D213" s="5" t="s">
        <v>18</v>
      </c>
      <c r="E213" s="5" t="s">
        <v>695</v>
      </c>
      <c r="F213" s="5" t="s">
        <v>699</v>
      </c>
    </row>
    <row r="214" spans="1:6" x14ac:dyDescent="0.2">
      <c r="A214" s="5">
        <v>111281</v>
      </c>
      <c r="B214" s="5" t="s">
        <v>689</v>
      </c>
      <c r="C214" s="5" t="s">
        <v>302</v>
      </c>
      <c r="D214" s="5" t="s">
        <v>18</v>
      </c>
      <c r="E214" s="5" t="s">
        <v>695</v>
      </c>
      <c r="F214" s="5" t="s">
        <v>699</v>
      </c>
    </row>
    <row r="215" spans="1:6" x14ac:dyDescent="0.2">
      <c r="A215" s="5">
        <v>111276</v>
      </c>
      <c r="B215" s="5" t="s">
        <v>684</v>
      </c>
      <c r="C215" s="5" t="s">
        <v>251</v>
      </c>
      <c r="D215" s="5" t="s">
        <v>18</v>
      </c>
      <c r="E215" s="5" t="s">
        <v>99</v>
      </c>
      <c r="F215" s="5" t="s">
        <v>699</v>
      </c>
    </row>
    <row r="216" spans="1:6" x14ac:dyDescent="0.2">
      <c r="A216" s="5">
        <v>111284</v>
      </c>
      <c r="B216" s="5" t="s">
        <v>692</v>
      </c>
      <c r="C216" s="5" t="s">
        <v>197</v>
      </c>
      <c r="D216" s="5" t="s">
        <v>18</v>
      </c>
      <c r="E216" s="5" t="s">
        <v>695</v>
      </c>
      <c r="F216" s="5" t="s">
        <v>699</v>
      </c>
    </row>
    <row r="217" spans="1:6" x14ac:dyDescent="0.2">
      <c r="A217" s="5">
        <v>111270</v>
      </c>
      <c r="B217" s="5" t="s">
        <v>678</v>
      </c>
      <c r="C217" s="5" t="s">
        <v>197</v>
      </c>
      <c r="D217" s="5" t="s">
        <v>18</v>
      </c>
      <c r="E217" s="5" t="s">
        <v>695</v>
      </c>
      <c r="F217" s="5" t="s">
        <v>699</v>
      </c>
    </row>
    <row r="218" spans="1:6" x14ac:dyDescent="0.2">
      <c r="A218" s="5">
        <v>111279</v>
      </c>
      <c r="B218" s="5" t="s">
        <v>687</v>
      </c>
      <c r="C218" s="5" t="s">
        <v>181</v>
      </c>
      <c r="D218" s="5" t="s">
        <v>18</v>
      </c>
      <c r="E218" s="5" t="s">
        <v>99</v>
      </c>
      <c r="F218" s="5" t="s">
        <v>699</v>
      </c>
    </row>
    <row r="219" spans="1:6" x14ac:dyDescent="0.2">
      <c r="A219" s="5">
        <v>111269</v>
      </c>
      <c r="B219" s="5" t="s">
        <v>677</v>
      </c>
      <c r="C219" s="5" t="s">
        <v>251</v>
      </c>
      <c r="D219" s="5" t="s">
        <v>18</v>
      </c>
      <c r="E219" s="5" t="s">
        <v>695</v>
      </c>
      <c r="F219" s="5" t="s">
        <v>699</v>
      </c>
    </row>
    <row r="220" spans="1:6" x14ac:dyDescent="0.2">
      <c r="A220" s="5">
        <v>111277</v>
      </c>
      <c r="B220" s="5" t="s">
        <v>685</v>
      </c>
      <c r="C220" s="5" t="s">
        <v>124</v>
      </c>
      <c r="D220" s="5" t="s">
        <v>18</v>
      </c>
      <c r="E220" s="5" t="s">
        <v>695</v>
      </c>
      <c r="F220" s="5" t="s">
        <v>699</v>
      </c>
    </row>
    <row r="221" spans="1:6" x14ac:dyDescent="0.2">
      <c r="A221" s="5">
        <v>111283</v>
      </c>
      <c r="B221" s="5" t="s">
        <v>691</v>
      </c>
      <c r="C221" s="5" t="s">
        <v>234</v>
      </c>
      <c r="D221" s="5" t="s">
        <v>18</v>
      </c>
      <c r="E221" s="5" t="s">
        <v>695</v>
      </c>
      <c r="F221" s="5" t="s">
        <v>699</v>
      </c>
    </row>
    <row r="222" spans="1:6" x14ac:dyDescent="0.2">
      <c r="A222" s="5">
        <v>111280</v>
      </c>
      <c r="B222" s="5" t="s">
        <v>688</v>
      </c>
      <c r="C222" s="5" t="s">
        <v>197</v>
      </c>
      <c r="D222" s="5" t="s">
        <v>18</v>
      </c>
      <c r="E222" s="5" t="s">
        <v>695</v>
      </c>
      <c r="F222" s="5" t="s">
        <v>699</v>
      </c>
    </row>
    <row r="223" spans="1:6" x14ac:dyDescent="0.2">
      <c r="A223" s="5">
        <v>111273</v>
      </c>
      <c r="B223" s="5" t="s">
        <v>681</v>
      </c>
      <c r="C223" s="5" t="s">
        <v>267</v>
      </c>
      <c r="D223" s="5" t="s">
        <v>18</v>
      </c>
      <c r="E223" s="5" t="s">
        <v>695</v>
      </c>
      <c r="F223" s="5" t="s">
        <v>699</v>
      </c>
    </row>
    <row r="224" spans="1:6" x14ac:dyDescent="0.2">
      <c r="A224" s="5">
        <v>111271</v>
      </c>
      <c r="B224" s="5" t="s">
        <v>679</v>
      </c>
      <c r="C224" s="5" t="s">
        <v>234</v>
      </c>
      <c r="D224" s="5" t="s">
        <v>18</v>
      </c>
      <c r="E224" s="5" t="s">
        <v>695</v>
      </c>
      <c r="F224" s="5" t="s">
        <v>699</v>
      </c>
    </row>
    <row r="225" spans="1:6" x14ac:dyDescent="0.2">
      <c r="A225" s="5">
        <v>111275</v>
      </c>
      <c r="B225" s="5" t="s">
        <v>683</v>
      </c>
      <c r="C225" s="5" t="s">
        <v>251</v>
      </c>
      <c r="D225" s="5" t="s">
        <v>18</v>
      </c>
      <c r="E225" s="5" t="s">
        <v>695</v>
      </c>
      <c r="F225" s="5" t="s">
        <v>699</v>
      </c>
    </row>
    <row r="226" spans="1:6" x14ac:dyDescent="0.2">
      <c r="A226" s="5">
        <v>111274</v>
      </c>
      <c r="B226" s="5" t="s">
        <v>682</v>
      </c>
      <c r="C226" s="5" t="s">
        <v>302</v>
      </c>
      <c r="D226" s="5" t="s">
        <v>18</v>
      </c>
      <c r="E226" s="5" t="s">
        <v>99</v>
      </c>
      <c r="F226" s="5" t="s">
        <v>699</v>
      </c>
    </row>
    <row r="227" spans="1:6" x14ac:dyDescent="0.2">
      <c r="A227" s="5">
        <v>111285</v>
      </c>
      <c r="B227" s="5" t="s">
        <v>693</v>
      </c>
      <c r="C227" s="5" t="s">
        <v>285</v>
      </c>
      <c r="D227" s="5" t="s">
        <v>18</v>
      </c>
      <c r="E227" s="5" t="s">
        <v>695</v>
      </c>
      <c r="F227" s="5" t="s">
        <v>699</v>
      </c>
    </row>
    <row r="228" spans="1:6" x14ac:dyDescent="0.2">
      <c r="A228" s="5">
        <v>500063</v>
      </c>
      <c r="B228" s="5" t="s">
        <v>325</v>
      </c>
      <c r="C228" s="5" t="s">
        <v>609</v>
      </c>
      <c r="D228" s="5" t="s">
        <v>19</v>
      </c>
      <c r="E228" s="5" t="s">
        <v>695</v>
      </c>
      <c r="F228" s="5" t="s">
        <v>699</v>
      </c>
    </row>
    <row r="229" spans="1:6" x14ac:dyDescent="0.2">
      <c r="A229" s="5">
        <v>500039</v>
      </c>
      <c r="B229" s="5" t="s">
        <v>339</v>
      </c>
      <c r="C229" s="5" t="s">
        <v>609</v>
      </c>
      <c r="D229" s="5" t="s">
        <v>19</v>
      </c>
      <c r="E229" s="5" t="s">
        <v>695</v>
      </c>
      <c r="F229" s="5" t="s">
        <v>699</v>
      </c>
    </row>
    <row r="230" spans="1:6" x14ac:dyDescent="0.2">
      <c r="A230" s="5">
        <v>500059</v>
      </c>
      <c r="B230" s="5" t="s">
        <v>323</v>
      </c>
      <c r="C230" s="5" t="s">
        <v>609</v>
      </c>
      <c r="D230" s="5" t="s">
        <v>19</v>
      </c>
      <c r="E230" s="5" t="s">
        <v>695</v>
      </c>
      <c r="F230" s="5" t="s">
        <v>699</v>
      </c>
    </row>
    <row r="231" spans="1:6" x14ac:dyDescent="0.2">
      <c r="A231" s="5">
        <v>500034</v>
      </c>
      <c r="B231" s="5" t="s">
        <v>335</v>
      </c>
      <c r="C231" s="5" t="s">
        <v>609</v>
      </c>
      <c r="D231" s="5" t="s">
        <v>19</v>
      </c>
      <c r="E231" s="5" t="s">
        <v>99</v>
      </c>
      <c r="F231" s="5" t="s">
        <v>699</v>
      </c>
    </row>
    <row r="232" spans="1:6" x14ac:dyDescent="0.2">
      <c r="A232" s="5">
        <v>500037</v>
      </c>
      <c r="B232" s="5" t="s">
        <v>338</v>
      </c>
      <c r="C232" s="5" t="s">
        <v>609</v>
      </c>
      <c r="D232" s="5" t="s">
        <v>19</v>
      </c>
      <c r="E232" s="5" t="s">
        <v>695</v>
      </c>
      <c r="F232" s="5" t="s">
        <v>699</v>
      </c>
    </row>
    <row r="233" spans="1:6" x14ac:dyDescent="0.2">
      <c r="A233" s="5">
        <v>500036</v>
      </c>
      <c r="B233" s="5" t="s">
        <v>337</v>
      </c>
      <c r="C233" s="5" t="s">
        <v>609</v>
      </c>
      <c r="D233" s="5" t="s">
        <v>19</v>
      </c>
      <c r="E233" s="5" t="s">
        <v>695</v>
      </c>
      <c r="F233" s="5" t="s">
        <v>699</v>
      </c>
    </row>
    <row r="234" spans="1:6" x14ac:dyDescent="0.2">
      <c r="A234" s="5">
        <v>500035</v>
      </c>
      <c r="B234" s="5" t="s">
        <v>336</v>
      </c>
      <c r="C234" s="5" t="s">
        <v>609</v>
      </c>
      <c r="D234" s="5" t="s">
        <v>19</v>
      </c>
      <c r="E234" s="5" t="s">
        <v>695</v>
      </c>
      <c r="F234" s="5" t="s">
        <v>699</v>
      </c>
    </row>
    <row r="235" spans="1:6" x14ac:dyDescent="0.2">
      <c r="A235" s="5">
        <v>500031</v>
      </c>
      <c r="B235" s="5" t="s">
        <v>334</v>
      </c>
      <c r="C235" s="5" t="s">
        <v>609</v>
      </c>
      <c r="D235" s="5" t="s">
        <v>19</v>
      </c>
      <c r="E235" s="5" t="s">
        <v>695</v>
      </c>
      <c r="F235" s="5" t="s">
        <v>699</v>
      </c>
    </row>
    <row r="236" spans="1:6" x14ac:dyDescent="0.2">
      <c r="A236" s="5">
        <v>500062</v>
      </c>
      <c r="B236" s="5" t="s">
        <v>324</v>
      </c>
      <c r="C236" s="5" t="s">
        <v>609</v>
      </c>
      <c r="D236" s="5" t="s">
        <v>19</v>
      </c>
      <c r="E236" s="5" t="s">
        <v>695</v>
      </c>
      <c r="F236" s="5" t="s">
        <v>699</v>
      </c>
    </row>
    <row r="237" spans="1:6" x14ac:dyDescent="0.2">
      <c r="A237" s="5">
        <v>500029</v>
      </c>
      <c r="B237" s="5" t="s">
        <v>333</v>
      </c>
      <c r="C237" s="5" t="s">
        <v>609</v>
      </c>
      <c r="D237" s="5" t="s">
        <v>19</v>
      </c>
      <c r="E237" s="5" t="s">
        <v>695</v>
      </c>
      <c r="F237" s="5" t="s">
        <v>699</v>
      </c>
    </row>
    <row r="238" spans="1:6" x14ac:dyDescent="0.2">
      <c r="A238" s="5">
        <v>500056</v>
      </c>
      <c r="B238" s="5" t="s">
        <v>322</v>
      </c>
      <c r="C238" s="5" t="s">
        <v>609</v>
      </c>
      <c r="D238" s="5" t="s">
        <v>19</v>
      </c>
      <c r="E238" s="5" t="s">
        <v>695</v>
      </c>
      <c r="F238" s="5" t="s">
        <v>699</v>
      </c>
    </row>
    <row r="239" spans="1:6" x14ac:dyDescent="0.2">
      <c r="A239" s="5">
        <v>500027</v>
      </c>
      <c r="B239" s="5" t="s">
        <v>321</v>
      </c>
      <c r="C239" s="5" t="s">
        <v>609</v>
      </c>
      <c r="D239" s="5" t="s">
        <v>19</v>
      </c>
      <c r="E239" s="5" t="s">
        <v>695</v>
      </c>
      <c r="F239" s="5" t="s">
        <v>699</v>
      </c>
    </row>
    <row r="240" spans="1:6" x14ac:dyDescent="0.2">
      <c r="A240" s="5">
        <v>500024</v>
      </c>
      <c r="B240" s="5" t="s">
        <v>332</v>
      </c>
      <c r="C240" s="5" t="s">
        <v>609</v>
      </c>
      <c r="D240" s="5" t="s">
        <v>19</v>
      </c>
      <c r="E240" s="5" t="s">
        <v>695</v>
      </c>
      <c r="F240" s="5" t="s">
        <v>699</v>
      </c>
    </row>
    <row r="241" spans="1:6" x14ac:dyDescent="0.2">
      <c r="A241" s="5">
        <v>500023</v>
      </c>
      <c r="B241" s="5" t="s">
        <v>331</v>
      </c>
      <c r="C241" s="5" t="s">
        <v>609</v>
      </c>
      <c r="D241" s="5" t="s">
        <v>19</v>
      </c>
      <c r="E241" s="5" t="s">
        <v>695</v>
      </c>
      <c r="F241" s="5" t="s">
        <v>699</v>
      </c>
    </row>
    <row r="242" spans="1:6" x14ac:dyDescent="0.2">
      <c r="A242" s="5">
        <v>500021</v>
      </c>
      <c r="B242" s="5" t="s">
        <v>330</v>
      </c>
      <c r="C242" s="5" t="s">
        <v>609</v>
      </c>
      <c r="D242" s="5" t="s">
        <v>19</v>
      </c>
      <c r="E242" s="5" t="s">
        <v>695</v>
      </c>
      <c r="F242" s="5" t="s">
        <v>699</v>
      </c>
    </row>
    <row r="243" spans="1:6" x14ac:dyDescent="0.2">
      <c r="A243" s="5">
        <v>500018</v>
      </c>
      <c r="B243" s="5" t="s">
        <v>329</v>
      </c>
      <c r="C243" s="5" t="s">
        <v>609</v>
      </c>
      <c r="D243" s="5" t="s">
        <v>19</v>
      </c>
      <c r="E243" s="5" t="s">
        <v>695</v>
      </c>
      <c r="F243" s="5" t="s">
        <v>699</v>
      </c>
    </row>
    <row r="244" spans="1:6" x14ac:dyDescent="0.2">
      <c r="A244" s="5">
        <v>500015</v>
      </c>
      <c r="B244" s="5" t="s">
        <v>328</v>
      </c>
      <c r="C244" s="5" t="s">
        <v>609</v>
      </c>
      <c r="D244" s="5" t="s">
        <v>19</v>
      </c>
      <c r="E244" s="5" t="s">
        <v>695</v>
      </c>
      <c r="F244" s="5" t="s">
        <v>699</v>
      </c>
    </row>
    <row r="245" spans="1:6" x14ac:dyDescent="0.2">
      <c r="A245" s="5">
        <v>500014</v>
      </c>
      <c r="B245" s="5" t="s">
        <v>320</v>
      </c>
      <c r="C245" s="5" t="s">
        <v>609</v>
      </c>
      <c r="D245" s="5" t="s">
        <v>19</v>
      </c>
      <c r="E245" s="5" t="s">
        <v>695</v>
      </c>
      <c r="F245" s="5" t="s">
        <v>699</v>
      </c>
    </row>
    <row r="246" spans="1:6" x14ac:dyDescent="0.2">
      <c r="A246" s="5">
        <v>500172</v>
      </c>
      <c r="B246" s="5" t="s">
        <v>651</v>
      </c>
      <c r="C246" s="5" t="s">
        <v>609</v>
      </c>
      <c r="D246" s="5" t="s">
        <v>19</v>
      </c>
      <c r="E246" s="5" t="s">
        <v>695</v>
      </c>
      <c r="F246" s="5" t="s">
        <v>699</v>
      </c>
    </row>
    <row r="247" spans="1:6" x14ac:dyDescent="0.2">
      <c r="A247" s="5">
        <v>500170</v>
      </c>
      <c r="B247" s="5" t="s">
        <v>649</v>
      </c>
      <c r="C247" s="5" t="s">
        <v>609</v>
      </c>
      <c r="D247" s="5" t="s">
        <v>19</v>
      </c>
      <c r="E247" s="5" t="s">
        <v>695</v>
      </c>
      <c r="F247" s="5" t="s">
        <v>699</v>
      </c>
    </row>
    <row r="248" spans="1:6" x14ac:dyDescent="0.2">
      <c r="A248" s="5">
        <v>500012</v>
      </c>
      <c r="B248" s="5" t="s">
        <v>327</v>
      </c>
      <c r="C248" s="5" t="s">
        <v>609</v>
      </c>
      <c r="D248" s="5" t="s">
        <v>19</v>
      </c>
      <c r="E248" s="5" t="s">
        <v>695</v>
      </c>
      <c r="F248" s="5" t="s">
        <v>699</v>
      </c>
    </row>
    <row r="249" spans="1:6" x14ac:dyDescent="0.2">
      <c r="A249" s="5">
        <v>500010</v>
      </c>
      <c r="B249" s="5" t="s">
        <v>326</v>
      </c>
      <c r="C249" s="5" t="s">
        <v>609</v>
      </c>
      <c r="D249" s="5" t="s">
        <v>19</v>
      </c>
      <c r="E249" s="5" t="s">
        <v>695</v>
      </c>
      <c r="F249" s="5" t="s">
        <v>699</v>
      </c>
    </row>
    <row r="250" spans="1:6" x14ac:dyDescent="0.2">
      <c r="A250" s="5">
        <v>500168</v>
      </c>
      <c r="B250" s="5" t="s">
        <v>647</v>
      </c>
      <c r="C250" s="5" t="s">
        <v>609</v>
      </c>
      <c r="D250" s="5" t="s">
        <v>19</v>
      </c>
      <c r="E250" s="5" t="s">
        <v>695</v>
      </c>
      <c r="F250" s="5" t="s">
        <v>699</v>
      </c>
    </row>
    <row r="251" spans="1:6" x14ac:dyDescent="0.2">
      <c r="A251" s="5">
        <v>500167</v>
      </c>
      <c r="B251" s="5" t="s">
        <v>372</v>
      </c>
      <c r="C251" s="5" t="s">
        <v>646</v>
      </c>
      <c r="D251" s="5" t="s">
        <v>19</v>
      </c>
      <c r="E251" s="5" t="s">
        <v>695</v>
      </c>
      <c r="F251" s="5" t="s">
        <v>699</v>
      </c>
    </row>
    <row r="252" spans="1:6" x14ac:dyDescent="0.2">
      <c r="A252" s="5">
        <v>500164</v>
      </c>
      <c r="B252" s="5" t="s">
        <v>744</v>
      </c>
      <c r="C252" s="5" t="s">
        <v>646</v>
      </c>
      <c r="D252" s="5" t="s">
        <v>19</v>
      </c>
      <c r="E252" s="5" t="s">
        <v>695</v>
      </c>
      <c r="F252" s="5" t="s">
        <v>699</v>
      </c>
    </row>
    <row r="253" spans="1:6" x14ac:dyDescent="0.2">
      <c r="A253" s="5">
        <v>500166</v>
      </c>
      <c r="B253" s="5" t="s">
        <v>371</v>
      </c>
      <c r="C253" s="5" t="s">
        <v>646</v>
      </c>
      <c r="D253" s="5" t="s">
        <v>19</v>
      </c>
      <c r="E253" s="5" t="s">
        <v>695</v>
      </c>
      <c r="F253" s="5" t="s">
        <v>699</v>
      </c>
    </row>
    <row r="254" spans="1:6" x14ac:dyDescent="0.2">
      <c r="A254" s="5">
        <v>500162</v>
      </c>
      <c r="B254" s="5" t="s">
        <v>369</v>
      </c>
      <c r="C254" s="5" t="s">
        <v>646</v>
      </c>
      <c r="D254" s="5" t="s">
        <v>19</v>
      </c>
      <c r="E254" s="5" t="s">
        <v>695</v>
      </c>
      <c r="F254" s="5" t="s">
        <v>699</v>
      </c>
    </row>
    <row r="255" spans="1:6" x14ac:dyDescent="0.2">
      <c r="A255" s="5">
        <v>500163</v>
      </c>
      <c r="B255" s="5" t="s">
        <v>370</v>
      </c>
      <c r="C255" s="5" t="s">
        <v>646</v>
      </c>
      <c r="D255" s="5" t="s">
        <v>19</v>
      </c>
      <c r="E255" s="5" t="s">
        <v>695</v>
      </c>
      <c r="F255" s="5" t="s">
        <v>699</v>
      </c>
    </row>
    <row r="256" spans="1:6" x14ac:dyDescent="0.2">
      <c r="A256" s="5">
        <v>500161</v>
      </c>
      <c r="B256" s="5" t="s">
        <v>368</v>
      </c>
      <c r="C256" s="5" t="s">
        <v>646</v>
      </c>
      <c r="D256" s="5" t="s">
        <v>19</v>
      </c>
      <c r="E256" s="5" t="s">
        <v>695</v>
      </c>
      <c r="F256" s="5" t="s">
        <v>699</v>
      </c>
    </row>
    <row r="257" spans="1:6" x14ac:dyDescent="0.2">
      <c r="A257" s="5">
        <v>500160</v>
      </c>
      <c r="B257" s="5" t="s">
        <v>367</v>
      </c>
      <c r="C257" s="5" t="s">
        <v>646</v>
      </c>
      <c r="D257" s="5" t="s">
        <v>19</v>
      </c>
      <c r="E257" s="5" t="s">
        <v>695</v>
      </c>
      <c r="F257" s="5" t="s">
        <v>699</v>
      </c>
    </row>
    <row r="258" spans="1:6" x14ac:dyDescent="0.2">
      <c r="A258" s="5">
        <v>500159</v>
      </c>
      <c r="B258" s="5" t="s">
        <v>366</v>
      </c>
      <c r="C258" s="5" t="s">
        <v>646</v>
      </c>
      <c r="D258" s="5" t="s">
        <v>19</v>
      </c>
      <c r="E258" s="5" t="s">
        <v>695</v>
      </c>
      <c r="F258" s="5" t="s">
        <v>699</v>
      </c>
    </row>
    <row r="259" spans="1:6" x14ac:dyDescent="0.2">
      <c r="A259" s="5">
        <v>500158</v>
      </c>
      <c r="B259" s="5" t="s">
        <v>365</v>
      </c>
      <c r="C259" s="5" t="s">
        <v>646</v>
      </c>
      <c r="D259" s="5" t="s">
        <v>19</v>
      </c>
      <c r="E259" s="5" t="s">
        <v>695</v>
      </c>
      <c r="F259" s="5" t="s">
        <v>699</v>
      </c>
    </row>
    <row r="260" spans="1:6" x14ac:dyDescent="0.2">
      <c r="A260" s="5">
        <v>500157</v>
      </c>
      <c r="B260" s="5" t="s">
        <v>364</v>
      </c>
      <c r="C260" s="5" t="s">
        <v>646</v>
      </c>
      <c r="D260" s="5" t="s">
        <v>19</v>
      </c>
      <c r="E260" s="5" t="s">
        <v>695</v>
      </c>
      <c r="F260" s="5" t="s">
        <v>699</v>
      </c>
    </row>
    <row r="261" spans="1:6" x14ac:dyDescent="0.2">
      <c r="A261" s="5">
        <v>500155</v>
      </c>
      <c r="B261" s="5" t="s">
        <v>363</v>
      </c>
      <c r="C261" s="5" t="s">
        <v>646</v>
      </c>
      <c r="D261" s="5" t="s">
        <v>19</v>
      </c>
      <c r="E261" s="5" t="s">
        <v>695</v>
      </c>
      <c r="F261" s="5" t="s">
        <v>699</v>
      </c>
    </row>
    <row r="262" spans="1:6" x14ac:dyDescent="0.2">
      <c r="A262" s="5">
        <v>500153</v>
      </c>
      <c r="B262" s="5" t="s">
        <v>362</v>
      </c>
      <c r="C262" s="5" t="s">
        <v>646</v>
      </c>
      <c r="D262" s="5" t="s">
        <v>19</v>
      </c>
      <c r="E262" s="5" t="s">
        <v>695</v>
      </c>
      <c r="F262" s="5" t="s">
        <v>699</v>
      </c>
    </row>
    <row r="263" spans="1:6" x14ac:dyDescent="0.2">
      <c r="A263" s="5">
        <v>500152</v>
      </c>
      <c r="B263" s="5" t="s">
        <v>361</v>
      </c>
      <c r="C263" s="5" t="s">
        <v>646</v>
      </c>
      <c r="D263" s="5" t="s">
        <v>19</v>
      </c>
      <c r="E263" s="5" t="s">
        <v>695</v>
      </c>
      <c r="F263" s="5" t="s">
        <v>699</v>
      </c>
    </row>
    <row r="264" spans="1:6" x14ac:dyDescent="0.2">
      <c r="A264" s="5">
        <v>500151</v>
      </c>
      <c r="B264" s="5" t="s">
        <v>360</v>
      </c>
      <c r="C264" s="5" t="s">
        <v>646</v>
      </c>
      <c r="D264" s="5" t="s">
        <v>19</v>
      </c>
      <c r="E264" s="5" t="s">
        <v>695</v>
      </c>
      <c r="F264" s="5" t="s">
        <v>699</v>
      </c>
    </row>
    <row r="265" spans="1:6" x14ac:dyDescent="0.2">
      <c r="A265" s="5">
        <v>500120</v>
      </c>
      <c r="B265" s="5" t="s">
        <v>374</v>
      </c>
      <c r="C265" s="5" t="s">
        <v>646</v>
      </c>
      <c r="D265" s="5" t="s">
        <v>19</v>
      </c>
      <c r="E265" s="5" t="s">
        <v>695</v>
      </c>
      <c r="F265" s="5" t="s">
        <v>699</v>
      </c>
    </row>
    <row r="266" spans="1:6" x14ac:dyDescent="0.2">
      <c r="A266" s="5">
        <v>500150</v>
      </c>
      <c r="B266" s="5" t="s">
        <v>359</v>
      </c>
      <c r="C266" s="5" t="s">
        <v>646</v>
      </c>
      <c r="D266" s="5" t="s">
        <v>19</v>
      </c>
      <c r="E266" s="5" t="s">
        <v>695</v>
      </c>
      <c r="F266" s="5" t="s">
        <v>699</v>
      </c>
    </row>
    <row r="267" spans="1:6" x14ac:dyDescent="0.2">
      <c r="A267" s="5">
        <v>500148</v>
      </c>
      <c r="B267" s="5" t="s">
        <v>358</v>
      </c>
      <c r="C267" s="5" t="s">
        <v>646</v>
      </c>
      <c r="D267" s="5" t="s">
        <v>19</v>
      </c>
      <c r="E267" s="5" t="s">
        <v>695</v>
      </c>
      <c r="F267" s="5" t="s">
        <v>699</v>
      </c>
    </row>
    <row r="268" spans="1:6" x14ac:dyDescent="0.2">
      <c r="A268" s="5">
        <v>500147</v>
      </c>
      <c r="B268" s="5" t="s">
        <v>357</v>
      </c>
      <c r="C268" s="5" t="s">
        <v>646</v>
      </c>
      <c r="D268" s="5" t="s">
        <v>19</v>
      </c>
      <c r="E268" s="5" t="s">
        <v>695</v>
      </c>
      <c r="F268" s="5" t="s">
        <v>699</v>
      </c>
    </row>
    <row r="269" spans="1:6" x14ac:dyDescent="0.2">
      <c r="A269" s="5">
        <v>500119</v>
      </c>
      <c r="B269" s="5" t="s">
        <v>373</v>
      </c>
      <c r="C269" s="5" t="s">
        <v>646</v>
      </c>
      <c r="D269" s="5" t="s">
        <v>19</v>
      </c>
      <c r="E269" s="5" t="s">
        <v>695</v>
      </c>
      <c r="F269" s="5" t="s">
        <v>699</v>
      </c>
    </row>
    <row r="270" spans="1:6" x14ac:dyDescent="0.2">
      <c r="A270" s="5">
        <v>500146</v>
      </c>
      <c r="B270" s="5" t="s">
        <v>356</v>
      </c>
      <c r="C270" s="5" t="s">
        <v>646</v>
      </c>
      <c r="D270" s="5" t="s">
        <v>19</v>
      </c>
      <c r="E270" s="5" t="s">
        <v>695</v>
      </c>
      <c r="F270" s="5" t="s">
        <v>699</v>
      </c>
    </row>
    <row r="271" spans="1:6" x14ac:dyDescent="0.2">
      <c r="A271" s="5">
        <v>500145</v>
      </c>
      <c r="B271" s="5" t="s">
        <v>355</v>
      </c>
      <c r="C271" s="5" t="s">
        <v>646</v>
      </c>
      <c r="D271" s="5" t="s">
        <v>19</v>
      </c>
      <c r="E271" s="5" t="s">
        <v>695</v>
      </c>
      <c r="F271" s="5" t="s">
        <v>699</v>
      </c>
    </row>
    <row r="272" spans="1:6" x14ac:dyDescent="0.2">
      <c r="A272" s="5">
        <v>500144</v>
      </c>
      <c r="B272" s="5" t="s">
        <v>354</v>
      </c>
      <c r="C272" s="5" t="s">
        <v>646</v>
      </c>
      <c r="D272" s="5" t="s">
        <v>19</v>
      </c>
      <c r="E272" s="5" t="s">
        <v>695</v>
      </c>
      <c r="F272" s="5" t="s">
        <v>699</v>
      </c>
    </row>
    <row r="273" spans="1:6" x14ac:dyDescent="0.2">
      <c r="A273" s="5">
        <v>500143</v>
      </c>
      <c r="B273" s="5" t="s">
        <v>353</v>
      </c>
      <c r="C273" s="5" t="s">
        <v>646</v>
      </c>
      <c r="D273" s="5" t="s">
        <v>19</v>
      </c>
      <c r="E273" s="5" t="s">
        <v>695</v>
      </c>
      <c r="F273" s="5" t="s">
        <v>699</v>
      </c>
    </row>
    <row r="274" spans="1:6" x14ac:dyDescent="0.2">
      <c r="A274" s="5">
        <v>500142</v>
      </c>
      <c r="B274" s="5" t="s">
        <v>352</v>
      </c>
      <c r="C274" s="5" t="s">
        <v>646</v>
      </c>
      <c r="D274" s="5" t="s">
        <v>19</v>
      </c>
      <c r="E274" s="5" t="s">
        <v>695</v>
      </c>
      <c r="F274" s="5" t="s">
        <v>699</v>
      </c>
    </row>
    <row r="275" spans="1:6" x14ac:dyDescent="0.2">
      <c r="A275" s="5">
        <v>500061</v>
      </c>
      <c r="B275" s="5" t="s">
        <v>390</v>
      </c>
      <c r="C275" s="5" t="s">
        <v>645</v>
      </c>
      <c r="D275" s="5" t="s">
        <v>19</v>
      </c>
      <c r="E275" s="5" t="s">
        <v>695</v>
      </c>
      <c r="F275" s="5" t="s">
        <v>699</v>
      </c>
    </row>
    <row r="276" spans="1:6" x14ac:dyDescent="0.2">
      <c r="A276" s="5">
        <v>500191</v>
      </c>
      <c r="B276" s="5" t="s">
        <v>670</v>
      </c>
      <c r="C276" s="5" t="s">
        <v>645</v>
      </c>
      <c r="D276" s="5" t="s">
        <v>19</v>
      </c>
      <c r="E276" s="5" t="s">
        <v>695</v>
      </c>
      <c r="F276" s="5" t="s">
        <v>699</v>
      </c>
    </row>
    <row r="277" spans="1:6" x14ac:dyDescent="0.2">
      <c r="A277" s="5">
        <v>500057</v>
      </c>
      <c r="B277" s="5" t="s">
        <v>389</v>
      </c>
      <c r="C277" s="5" t="s">
        <v>645</v>
      </c>
      <c r="D277" s="5" t="s">
        <v>19</v>
      </c>
      <c r="E277" s="5" t="s">
        <v>695</v>
      </c>
      <c r="F277" s="5" t="s">
        <v>699</v>
      </c>
    </row>
    <row r="278" spans="1:6" x14ac:dyDescent="0.2">
      <c r="A278" s="5">
        <v>500055</v>
      </c>
      <c r="B278" s="5" t="s">
        <v>388</v>
      </c>
      <c r="C278" s="5" t="s">
        <v>645</v>
      </c>
      <c r="D278" s="5" t="s">
        <v>19</v>
      </c>
      <c r="E278" s="5" t="s">
        <v>695</v>
      </c>
      <c r="F278" s="5" t="s">
        <v>699</v>
      </c>
    </row>
    <row r="279" spans="1:6" x14ac:dyDescent="0.2">
      <c r="A279" s="5">
        <v>500054</v>
      </c>
      <c r="B279" s="5" t="s">
        <v>387</v>
      </c>
      <c r="C279" s="5" t="s">
        <v>645</v>
      </c>
      <c r="D279" s="5" t="s">
        <v>19</v>
      </c>
      <c r="E279" s="5" t="s">
        <v>695</v>
      </c>
      <c r="F279" s="5" t="s">
        <v>699</v>
      </c>
    </row>
    <row r="280" spans="1:6" x14ac:dyDescent="0.2">
      <c r="A280" s="5">
        <v>500052</v>
      </c>
      <c r="B280" s="5" t="s">
        <v>385</v>
      </c>
      <c r="C280" s="5" t="s">
        <v>645</v>
      </c>
      <c r="D280" s="5" t="s">
        <v>19</v>
      </c>
      <c r="E280" s="5" t="s">
        <v>695</v>
      </c>
      <c r="F280" s="5" t="s">
        <v>699</v>
      </c>
    </row>
    <row r="281" spans="1:6" x14ac:dyDescent="0.2">
      <c r="A281" s="5">
        <v>500051</v>
      </c>
      <c r="B281" s="5" t="s">
        <v>380</v>
      </c>
      <c r="C281" s="5" t="s">
        <v>645</v>
      </c>
      <c r="D281" s="5" t="s">
        <v>19</v>
      </c>
      <c r="E281" s="5" t="s">
        <v>99</v>
      </c>
      <c r="F281" s="5" t="s">
        <v>699</v>
      </c>
    </row>
    <row r="282" spans="1:6" x14ac:dyDescent="0.2">
      <c r="A282" s="5">
        <v>500050</v>
      </c>
      <c r="B282" s="5" t="s">
        <v>379</v>
      </c>
      <c r="C282" s="5" t="s">
        <v>645</v>
      </c>
      <c r="D282" s="5" t="s">
        <v>19</v>
      </c>
      <c r="E282" s="5" t="s">
        <v>695</v>
      </c>
      <c r="F282" s="5" t="s">
        <v>699</v>
      </c>
    </row>
    <row r="283" spans="1:6" x14ac:dyDescent="0.2">
      <c r="A283" s="5">
        <v>500176</v>
      </c>
      <c r="B283" s="5" t="s">
        <v>655</v>
      </c>
      <c r="C283" s="5" t="s">
        <v>645</v>
      </c>
      <c r="D283" s="5" t="s">
        <v>19</v>
      </c>
      <c r="E283" s="5" t="s">
        <v>695</v>
      </c>
      <c r="F283" s="5" t="s">
        <v>699</v>
      </c>
    </row>
    <row r="284" spans="1:6" x14ac:dyDescent="0.2">
      <c r="A284" s="5">
        <v>500098</v>
      </c>
      <c r="B284" s="5" t="s">
        <v>394</v>
      </c>
      <c r="C284" s="5" t="s">
        <v>645</v>
      </c>
      <c r="D284" s="5" t="s">
        <v>19</v>
      </c>
      <c r="E284" s="5" t="s">
        <v>695</v>
      </c>
      <c r="F284" s="5" t="s">
        <v>699</v>
      </c>
    </row>
    <row r="285" spans="1:6" x14ac:dyDescent="0.2">
      <c r="A285" s="5">
        <v>500096</v>
      </c>
      <c r="B285" s="5" t="s">
        <v>393</v>
      </c>
      <c r="C285" s="5" t="s">
        <v>645</v>
      </c>
      <c r="D285" s="5" t="s">
        <v>19</v>
      </c>
      <c r="E285" s="5" t="s">
        <v>695</v>
      </c>
      <c r="F285" s="5" t="s">
        <v>699</v>
      </c>
    </row>
    <row r="286" spans="1:6" x14ac:dyDescent="0.2">
      <c r="A286" s="5">
        <v>500049</v>
      </c>
      <c r="B286" s="5" t="s">
        <v>384</v>
      </c>
      <c r="C286" s="5" t="s">
        <v>645</v>
      </c>
      <c r="D286" s="5" t="s">
        <v>19</v>
      </c>
      <c r="E286" s="5" t="s">
        <v>695</v>
      </c>
      <c r="F286" s="5" t="s">
        <v>699</v>
      </c>
    </row>
    <row r="287" spans="1:6" x14ac:dyDescent="0.2">
      <c r="A287" s="5">
        <v>500048</v>
      </c>
      <c r="B287" s="5" t="s">
        <v>383</v>
      </c>
      <c r="C287" s="5" t="s">
        <v>645</v>
      </c>
      <c r="D287" s="5" t="s">
        <v>19</v>
      </c>
      <c r="E287" s="5" t="s">
        <v>695</v>
      </c>
      <c r="F287" s="5" t="s">
        <v>699</v>
      </c>
    </row>
    <row r="288" spans="1:6" x14ac:dyDescent="0.2">
      <c r="A288" s="5">
        <v>500047</v>
      </c>
      <c r="B288" s="5" t="s">
        <v>382</v>
      </c>
      <c r="C288" s="5" t="s">
        <v>645</v>
      </c>
      <c r="D288" s="5" t="s">
        <v>19</v>
      </c>
      <c r="E288" s="5" t="s">
        <v>695</v>
      </c>
      <c r="F288" s="5" t="s">
        <v>699</v>
      </c>
    </row>
    <row r="289" spans="1:6" x14ac:dyDescent="0.2">
      <c r="A289" s="5">
        <v>500046</v>
      </c>
      <c r="B289" s="5" t="s">
        <v>381</v>
      </c>
      <c r="C289" s="5" t="s">
        <v>645</v>
      </c>
      <c r="D289" s="5" t="s">
        <v>19</v>
      </c>
      <c r="E289" s="5" t="s">
        <v>695</v>
      </c>
      <c r="F289" s="5" t="s">
        <v>699</v>
      </c>
    </row>
    <row r="290" spans="1:6" x14ac:dyDescent="0.2">
      <c r="A290" s="5">
        <v>500044</v>
      </c>
      <c r="B290" s="5" t="s">
        <v>378</v>
      </c>
      <c r="C290" s="5" t="s">
        <v>645</v>
      </c>
      <c r="D290" s="5" t="s">
        <v>19</v>
      </c>
      <c r="E290" s="5" t="s">
        <v>695</v>
      </c>
      <c r="F290" s="5" t="s">
        <v>699</v>
      </c>
    </row>
    <row r="291" spans="1:6" x14ac:dyDescent="0.2">
      <c r="A291" s="5">
        <v>500043</v>
      </c>
      <c r="B291" s="5" t="s">
        <v>377</v>
      </c>
      <c r="C291" s="5" t="s">
        <v>645</v>
      </c>
      <c r="D291" s="5" t="s">
        <v>19</v>
      </c>
      <c r="E291" s="5" t="s">
        <v>695</v>
      </c>
      <c r="F291" s="5" t="s">
        <v>699</v>
      </c>
    </row>
    <row r="292" spans="1:6" x14ac:dyDescent="0.2">
      <c r="A292" s="5">
        <v>500042</v>
      </c>
      <c r="B292" s="5" t="s">
        <v>376</v>
      </c>
      <c r="C292" s="5" t="s">
        <v>645</v>
      </c>
      <c r="D292" s="5" t="s">
        <v>19</v>
      </c>
      <c r="E292" s="5" t="s">
        <v>695</v>
      </c>
      <c r="F292" s="5" t="s">
        <v>699</v>
      </c>
    </row>
    <row r="293" spans="1:6" x14ac:dyDescent="0.2">
      <c r="A293" s="5">
        <v>500040</v>
      </c>
      <c r="B293" s="5" t="s">
        <v>375</v>
      </c>
      <c r="C293" s="5" t="s">
        <v>645</v>
      </c>
      <c r="D293" s="5" t="s">
        <v>19</v>
      </c>
      <c r="E293" s="5" t="s">
        <v>695</v>
      </c>
      <c r="F293" s="5" t="s">
        <v>699</v>
      </c>
    </row>
    <row r="294" spans="1:6" x14ac:dyDescent="0.2">
      <c r="A294" s="5">
        <v>500171</v>
      </c>
      <c r="B294" s="5" t="s">
        <v>650</v>
      </c>
      <c r="C294" s="5" t="s">
        <v>645</v>
      </c>
      <c r="D294" s="5" t="s">
        <v>19</v>
      </c>
      <c r="E294" s="5" t="s">
        <v>695</v>
      </c>
      <c r="F294" s="5" t="s">
        <v>699</v>
      </c>
    </row>
    <row r="295" spans="1:6" x14ac:dyDescent="0.2">
      <c r="A295" s="5">
        <v>500169</v>
      </c>
      <c r="B295" s="5" t="s">
        <v>648</v>
      </c>
      <c r="C295" s="5" t="s">
        <v>645</v>
      </c>
      <c r="D295" s="5" t="s">
        <v>19</v>
      </c>
      <c r="E295" s="5" t="s">
        <v>695</v>
      </c>
      <c r="F295" s="5" t="s">
        <v>699</v>
      </c>
    </row>
    <row r="296" spans="1:6" x14ac:dyDescent="0.2">
      <c r="A296" s="5">
        <v>500053</v>
      </c>
      <c r="B296" s="5" t="s">
        <v>386</v>
      </c>
      <c r="C296" s="5" t="s">
        <v>645</v>
      </c>
      <c r="D296" s="5" t="s">
        <v>19</v>
      </c>
      <c r="E296" s="5" t="s">
        <v>695</v>
      </c>
      <c r="F296" s="5" t="s">
        <v>699</v>
      </c>
    </row>
    <row r="297" spans="1:6" x14ac:dyDescent="0.2">
      <c r="A297" s="5">
        <v>500117</v>
      </c>
      <c r="B297" s="5" t="s">
        <v>415</v>
      </c>
      <c r="C297" s="5" t="s">
        <v>391</v>
      </c>
      <c r="D297" s="5" t="s">
        <v>19</v>
      </c>
      <c r="E297" s="5" t="s">
        <v>695</v>
      </c>
      <c r="F297" s="5" t="s">
        <v>699</v>
      </c>
    </row>
    <row r="298" spans="1:6" x14ac:dyDescent="0.2">
      <c r="A298" s="5">
        <v>500116</v>
      </c>
      <c r="B298" s="5" t="s">
        <v>414</v>
      </c>
      <c r="C298" s="5" t="s">
        <v>391</v>
      </c>
      <c r="D298" s="5" t="s">
        <v>19</v>
      </c>
      <c r="E298" s="5" t="s">
        <v>695</v>
      </c>
      <c r="F298" s="5" t="s">
        <v>699</v>
      </c>
    </row>
    <row r="299" spans="1:6" x14ac:dyDescent="0.2">
      <c r="A299" s="5">
        <v>500114</v>
      </c>
      <c r="B299" s="5" t="s">
        <v>413</v>
      </c>
      <c r="C299" s="5" t="s">
        <v>391</v>
      </c>
      <c r="D299" s="5" t="s">
        <v>19</v>
      </c>
      <c r="E299" s="5" t="s">
        <v>695</v>
      </c>
      <c r="F299" s="5" t="s">
        <v>699</v>
      </c>
    </row>
    <row r="300" spans="1:6" x14ac:dyDescent="0.2">
      <c r="A300" s="5">
        <v>500113</v>
      </c>
      <c r="B300" s="5" t="s">
        <v>412</v>
      </c>
      <c r="C300" s="5" t="s">
        <v>391</v>
      </c>
      <c r="D300" s="5" t="s">
        <v>19</v>
      </c>
      <c r="E300" s="5" t="s">
        <v>695</v>
      </c>
      <c r="F300" s="5" t="s">
        <v>699</v>
      </c>
    </row>
    <row r="301" spans="1:6" x14ac:dyDescent="0.2">
      <c r="A301" s="5">
        <v>500112</v>
      </c>
      <c r="B301" s="5" t="s">
        <v>411</v>
      </c>
      <c r="C301" s="5" t="s">
        <v>391</v>
      </c>
      <c r="D301" s="5" t="s">
        <v>19</v>
      </c>
      <c r="E301" s="5" t="s">
        <v>695</v>
      </c>
      <c r="F301" s="5" t="s">
        <v>699</v>
      </c>
    </row>
    <row r="302" spans="1:6" x14ac:dyDescent="0.2">
      <c r="A302" s="5">
        <v>500110</v>
      </c>
      <c r="B302" s="5" t="s">
        <v>410</v>
      </c>
      <c r="C302" s="5" t="s">
        <v>391</v>
      </c>
      <c r="D302" s="5" t="s">
        <v>19</v>
      </c>
      <c r="E302" s="5" t="s">
        <v>695</v>
      </c>
      <c r="F302" s="5" t="s">
        <v>699</v>
      </c>
    </row>
    <row r="303" spans="1:6" x14ac:dyDescent="0.2">
      <c r="A303" s="5">
        <v>500109</v>
      </c>
      <c r="B303" s="5" t="s">
        <v>409</v>
      </c>
      <c r="C303" s="5" t="s">
        <v>391</v>
      </c>
      <c r="D303" s="5" t="s">
        <v>19</v>
      </c>
      <c r="E303" s="5" t="s">
        <v>695</v>
      </c>
      <c r="F303" s="5" t="s">
        <v>699</v>
      </c>
    </row>
    <row r="304" spans="1:6" x14ac:dyDescent="0.2">
      <c r="A304" s="5">
        <v>500108</v>
      </c>
      <c r="B304" s="5" t="s">
        <v>408</v>
      </c>
      <c r="C304" s="5" t="s">
        <v>391</v>
      </c>
      <c r="D304" s="5" t="s">
        <v>19</v>
      </c>
      <c r="E304" s="5" t="s">
        <v>695</v>
      </c>
      <c r="F304" s="5" t="s">
        <v>699</v>
      </c>
    </row>
    <row r="305" spans="1:6" x14ac:dyDescent="0.2">
      <c r="A305" s="5">
        <v>500107</v>
      </c>
      <c r="B305" s="5" t="s">
        <v>407</v>
      </c>
      <c r="C305" s="5" t="s">
        <v>391</v>
      </c>
      <c r="D305" s="5" t="s">
        <v>19</v>
      </c>
      <c r="E305" s="5" t="s">
        <v>695</v>
      </c>
      <c r="F305" s="5" t="s">
        <v>699</v>
      </c>
    </row>
    <row r="306" spans="1:6" x14ac:dyDescent="0.2">
      <c r="A306" s="5">
        <v>500105</v>
      </c>
      <c r="B306" s="5" t="s">
        <v>406</v>
      </c>
      <c r="C306" s="5" t="s">
        <v>391</v>
      </c>
      <c r="D306" s="5" t="s">
        <v>19</v>
      </c>
      <c r="E306" s="5" t="s">
        <v>695</v>
      </c>
      <c r="F306" s="5" t="s">
        <v>699</v>
      </c>
    </row>
    <row r="307" spans="1:6" x14ac:dyDescent="0.2">
      <c r="A307" s="5">
        <v>500102</v>
      </c>
      <c r="B307" s="5" t="s">
        <v>405</v>
      </c>
      <c r="C307" s="5" t="s">
        <v>391</v>
      </c>
      <c r="D307" s="5" t="s">
        <v>19</v>
      </c>
      <c r="E307" s="5" t="s">
        <v>695</v>
      </c>
      <c r="F307" s="5" t="s">
        <v>699</v>
      </c>
    </row>
    <row r="308" spans="1:6" x14ac:dyDescent="0.2">
      <c r="A308" s="5">
        <v>500100</v>
      </c>
      <c r="B308" s="5" t="s">
        <v>403</v>
      </c>
      <c r="C308" s="5" t="s">
        <v>391</v>
      </c>
      <c r="D308" s="5" t="s">
        <v>19</v>
      </c>
      <c r="E308" s="5" t="s">
        <v>695</v>
      </c>
      <c r="F308" s="5" t="s">
        <v>699</v>
      </c>
    </row>
    <row r="309" spans="1:6" x14ac:dyDescent="0.2">
      <c r="A309" s="5">
        <v>500101</v>
      </c>
      <c r="B309" s="5" t="s">
        <v>404</v>
      </c>
      <c r="C309" s="5" t="s">
        <v>391</v>
      </c>
      <c r="D309" s="5" t="s">
        <v>19</v>
      </c>
      <c r="E309" s="5" t="s">
        <v>695</v>
      </c>
      <c r="F309" s="5" t="s">
        <v>699</v>
      </c>
    </row>
    <row r="310" spans="1:6" x14ac:dyDescent="0.2">
      <c r="A310" s="5">
        <v>500093</v>
      </c>
      <c r="B310" s="5" t="s">
        <v>402</v>
      </c>
      <c r="C310" s="5" t="s">
        <v>391</v>
      </c>
      <c r="D310" s="5" t="s">
        <v>19</v>
      </c>
      <c r="E310" s="5" t="s">
        <v>695</v>
      </c>
      <c r="F310" s="5" t="s">
        <v>699</v>
      </c>
    </row>
    <row r="311" spans="1:6" x14ac:dyDescent="0.2">
      <c r="A311" s="5">
        <v>500092</v>
      </c>
      <c r="B311" s="5" t="s">
        <v>401</v>
      </c>
      <c r="C311" s="5" t="s">
        <v>391</v>
      </c>
      <c r="D311" s="5" t="s">
        <v>19</v>
      </c>
      <c r="E311" s="5" t="s">
        <v>695</v>
      </c>
      <c r="F311" s="5" t="s">
        <v>699</v>
      </c>
    </row>
    <row r="312" spans="1:6" x14ac:dyDescent="0.2">
      <c r="A312" s="5">
        <v>500091</v>
      </c>
      <c r="B312" s="5" t="s">
        <v>400</v>
      </c>
      <c r="C312" s="5" t="s">
        <v>391</v>
      </c>
      <c r="D312" s="5" t="s">
        <v>19</v>
      </c>
      <c r="E312" s="5" t="s">
        <v>695</v>
      </c>
      <c r="F312" s="5" t="s">
        <v>699</v>
      </c>
    </row>
    <row r="313" spans="1:6" x14ac:dyDescent="0.2">
      <c r="A313" s="5">
        <v>500115</v>
      </c>
      <c r="B313" s="5" t="s">
        <v>399</v>
      </c>
      <c r="C313" s="5" t="s">
        <v>391</v>
      </c>
      <c r="D313" s="5" t="s">
        <v>19</v>
      </c>
      <c r="E313" s="5" t="s">
        <v>695</v>
      </c>
      <c r="F313" s="5" t="s">
        <v>699</v>
      </c>
    </row>
    <row r="314" spans="1:6" x14ac:dyDescent="0.2">
      <c r="A314" s="5">
        <v>500090</v>
      </c>
      <c r="B314" s="5" t="s">
        <v>398</v>
      </c>
      <c r="C314" s="5" t="s">
        <v>391</v>
      </c>
      <c r="D314" s="5" t="s">
        <v>19</v>
      </c>
      <c r="E314" s="5" t="s">
        <v>695</v>
      </c>
      <c r="F314" s="5" t="s">
        <v>699</v>
      </c>
    </row>
    <row r="315" spans="1:6" x14ac:dyDescent="0.2">
      <c r="A315" s="5">
        <v>500089</v>
      </c>
      <c r="B315" s="5" t="s">
        <v>397</v>
      </c>
      <c r="C315" s="5" t="s">
        <v>391</v>
      </c>
      <c r="D315" s="5" t="s">
        <v>19</v>
      </c>
      <c r="E315" s="5" t="s">
        <v>695</v>
      </c>
      <c r="F315" s="5" t="s">
        <v>699</v>
      </c>
    </row>
    <row r="316" spans="1:6" x14ac:dyDescent="0.2">
      <c r="A316" s="5">
        <v>500094</v>
      </c>
      <c r="B316" s="5" t="s">
        <v>395</v>
      </c>
      <c r="C316" s="5" t="s">
        <v>391</v>
      </c>
      <c r="D316" s="5" t="s">
        <v>19</v>
      </c>
      <c r="E316" s="5" t="s">
        <v>695</v>
      </c>
      <c r="F316" s="5" t="s">
        <v>699</v>
      </c>
    </row>
    <row r="317" spans="1:6" x14ac:dyDescent="0.2">
      <c r="A317" s="5">
        <v>500088</v>
      </c>
      <c r="B317" s="5" t="s">
        <v>396</v>
      </c>
      <c r="C317" s="5" t="s">
        <v>391</v>
      </c>
      <c r="D317" s="5" t="s">
        <v>19</v>
      </c>
      <c r="E317" s="5" t="s">
        <v>695</v>
      </c>
      <c r="F317" s="5" t="s">
        <v>699</v>
      </c>
    </row>
    <row r="318" spans="1:6" x14ac:dyDescent="0.2">
      <c r="A318" s="5">
        <v>500074</v>
      </c>
      <c r="B318" s="5" t="s">
        <v>424</v>
      </c>
      <c r="C318" s="5" t="s">
        <v>392</v>
      </c>
      <c r="D318" s="5" t="s">
        <v>19</v>
      </c>
      <c r="E318" s="5" t="s">
        <v>695</v>
      </c>
      <c r="F318" s="5" t="s">
        <v>699</v>
      </c>
    </row>
    <row r="319" spans="1:6" x14ac:dyDescent="0.2">
      <c r="A319" s="5">
        <v>500083</v>
      </c>
      <c r="B319" s="5" t="s">
        <v>431</v>
      </c>
      <c r="C319" s="5" t="s">
        <v>392</v>
      </c>
      <c r="D319" s="5" t="s">
        <v>19</v>
      </c>
      <c r="E319" s="5" t="s">
        <v>695</v>
      </c>
      <c r="F319" s="5" t="s">
        <v>699</v>
      </c>
    </row>
    <row r="320" spans="1:6" x14ac:dyDescent="0.2">
      <c r="A320" s="5">
        <v>500072</v>
      </c>
      <c r="B320" s="5" t="s">
        <v>423</v>
      </c>
      <c r="C320" s="5" t="s">
        <v>392</v>
      </c>
      <c r="D320" s="5" t="s">
        <v>19</v>
      </c>
      <c r="E320" s="5" t="s">
        <v>695</v>
      </c>
      <c r="F320" s="5" t="s">
        <v>699</v>
      </c>
    </row>
    <row r="321" spans="1:6" x14ac:dyDescent="0.2">
      <c r="A321" s="5">
        <v>500086</v>
      </c>
      <c r="B321" s="5" t="s">
        <v>433</v>
      </c>
      <c r="C321" s="5" t="s">
        <v>392</v>
      </c>
      <c r="D321" s="5" t="s">
        <v>19</v>
      </c>
      <c r="E321" s="5" t="s">
        <v>695</v>
      </c>
      <c r="F321" s="5" t="s">
        <v>699</v>
      </c>
    </row>
    <row r="322" spans="1:6" x14ac:dyDescent="0.2">
      <c r="A322" s="5">
        <v>500073</v>
      </c>
      <c r="B322" s="5" t="s">
        <v>745</v>
      </c>
      <c r="C322" s="5" t="s">
        <v>745</v>
      </c>
      <c r="D322" s="5" t="s">
        <v>19</v>
      </c>
      <c r="E322" s="5" t="s">
        <v>99</v>
      </c>
      <c r="F322" s="5" t="s">
        <v>699</v>
      </c>
    </row>
    <row r="323" spans="1:6" x14ac:dyDescent="0.2">
      <c r="A323" s="5">
        <v>500064</v>
      </c>
      <c r="B323" s="5" t="s">
        <v>416</v>
      </c>
      <c r="C323" s="5" t="s">
        <v>392</v>
      </c>
      <c r="D323" s="5" t="s">
        <v>19</v>
      </c>
      <c r="E323" s="5" t="s">
        <v>695</v>
      </c>
      <c r="F323" s="5" t="s">
        <v>699</v>
      </c>
    </row>
    <row r="324" spans="1:6" x14ac:dyDescent="0.2">
      <c r="A324" s="5">
        <v>500066</v>
      </c>
      <c r="B324" s="5" t="s">
        <v>418</v>
      </c>
      <c r="C324" s="5" t="s">
        <v>392</v>
      </c>
      <c r="D324" s="5" t="s">
        <v>19</v>
      </c>
      <c r="E324" s="5" t="s">
        <v>695</v>
      </c>
      <c r="F324" s="5" t="s">
        <v>699</v>
      </c>
    </row>
    <row r="325" spans="1:6" x14ac:dyDescent="0.2">
      <c r="A325" s="5">
        <v>500070</v>
      </c>
      <c r="B325" s="5" t="s">
        <v>422</v>
      </c>
      <c r="C325" s="5" t="s">
        <v>392</v>
      </c>
      <c r="D325" s="5" t="s">
        <v>19</v>
      </c>
      <c r="E325" s="5" t="s">
        <v>695</v>
      </c>
      <c r="F325" s="5" t="s">
        <v>699</v>
      </c>
    </row>
    <row r="326" spans="1:6" x14ac:dyDescent="0.2">
      <c r="A326" s="5">
        <v>500071</v>
      </c>
      <c r="B326" s="5" t="s">
        <v>746</v>
      </c>
      <c r="C326" s="5" t="s">
        <v>392</v>
      </c>
      <c r="D326" s="5" t="s">
        <v>19</v>
      </c>
      <c r="E326" s="5" t="s">
        <v>695</v>
      </c>
      <c r="F326" s="5" t="s">
        <v>699</v>
      </c>
    </row>
    <row r="327" spans="1:6" x14ac:dyDescent="0.2">
      <c r="A327" s="5">
        <v>500069</v>
      </c>
      <c r="B327" s="5" t="s">
        <v>421</v>
      </c>
      <c r="C327" s="5" t="s">
        <v>392</v>
      </c>
      <c r="D327" s="5" t="s">
        <v>19</v>
      </c>
      <c r="E327" s="5" t="s">
        <v>695</v>
      </c>
      <c r="F327" s="5" t="s">
        <v>699</v>
      </c>
    </row>
    <row r="328" spans="1:6" x14ac:dyDescent="0.2">
      <c r="A328" s="5">
        <v>500080</v>
      </c>
      <c r="B328" s="5" t="s">
        <v>429</v>
      </c>
      <c r="C328" s="5" t="s">
        <v>392</v>
      </c>
      <c r="D328" s="5" t="s">
        <v>19</v>
      </c>
      <c r="E328" s="5" t="s">
        <v>695</v>
      </c>
      <c r="F328" s="5" t="s">
        <v>699</v>
      </c>
    </row>
    <row r="329" spans="1:6" x14ac:dyDescent="0.2">
      <c r="A329" s="5">
        <v>500068</v>
      </c>
      <c r="B329" s="5" t="s">
        <v>420</v>
      </c>
      <c r="C329" s="5" t="s">
        <v>392</v>
      </c>
      <c r="D329" s="5" t="s">
        <v>19</v>
      </c>
      <c r="E329" s="5" t="s">
        <v>695</v>
      </c>
      <c r="F329" s="5" t="s">
        <v>699</v>
      </c>
    </row>
    <row r="330" spans="1:6" x14ac:dyDescent="0.2">
      <c r="A330" s="5">
        <v>500067</v>
      </c>
      <c r="B330" s="5" t="s">
        <v>419</v>
      </c>
      <c r="C330" s="5" t="s">
        <v>392</v>
      </c>
      <c r="D330" s="5" t="s">
        <v>19</v>
      </c>
      <c r="E330" s="5" t="s">
        <v>695</v>
      </c>
      <c r="F330" s="5" t="s">
        <v>699</v>
      </c>
    </row>
    <row r="331" spans="1:6" x14ac:dyDescent="0.2">
      <c r="A331" s="5">
        <v>500084</v>
      </c>
      <c r="B331" s="5" t="s">
        <v>432</v>
      </c>
      <c r="C331" s="5" t="s">
        <v>392</v>
      </c>
      <c r="D331" s="5" t="s">
        <v>19</v>
      </c>
      <c r="E331" s="5" t="s">
        <v>695</v>
      </c>
      <c r="F331" s="5" t="s">
        <v>699</v>
      </c>
    </row>
    <row r="332" spans="1:6" x14ac:dyDescent="0.2">
      <c r="A332" s="5">
        <v>500076</v>
      </c>
      <c r="B332" s="5" t="s">
        <v>426</v>
      </c>
      <c r="C332" s="5" t="s">
        <v>392</v>
      </c>
      <c r="D332" s="5" t="s">
        <v>19</v>
      </c>
      <c r="E332" s="5" t="s">
        <v>695</v>
      </c>
      <c r="F332" s="5" t="s">
        <v>699</v>
      </c>
    </row>
    <row r="333" spans="1:6" x14ac:dyDescent="0.2">
      <c r="A333" s="5">
        <v>500078</v>
      </c>
      <c r="B333" s="5" t="s">
        <v>428</v>
      </c>
      <c r="C333" s="5" t="s">
        <v>392</v>
      </c>
      <c r="D333" s="5" t="s">
        <v>19</v>
      </c>
      <c r="E333" s="5" t="s">
        <v>695</v>
      </c>
      <c r="F333" s="5" t="s">
        <v>699</v>
      </c>
    </row>
    <row r="334" spans="1:6" x14ac:dyDescent="0.2">
      <c r="A334" s="5">
        <v>500087</v>
      </c>
      <c r="B334" s="5" t="s">
        <v>434</v>
      </c>
      <c r="C334" s="5" t="s">
        <v>392</v>
      </c>
      <c r="D334" s="5" t="s">
        <v>19</v>
      </c>
      <c r="E334" s="5" t="s">
        <v>695</v>
      </c>
      <c r="F334" s="5" t="s">
        <v>699</v>
      </c>
    </row>
    <row r="335" spans="1:6" x14ac:dyDescent="0.2">
      <c r="A335" s="5">
        <v>500079</v>
      </c>
      <c r="B335" s="5" t="s">
        <v>747</v>
      </c>
      <c r="C335" s="5" t="s">
        <v>392</v>
      </c>
      <c r="D335" s="5" t="s">
        <v>19</v>
      </c>
      <c r="E335" s="5" t="s">
        <v>695</v>
      </c>
      <c r="F335" s="5" t="s">
        <v>699</v>
      </c>
    </row>
    <row r="336" spans="1:6" x14ac:dyDescent="0.2">
      <c r="A336" s="5">
        <v>500077</v>
      </c>
      <c r="B336" s="5" t="s">
        <v>427</v>
      </c>
      <c r="C336" s="5" t="s">
        <v>392</v>
      </c>
      <c r="D336" s="5" t="s">
        <v>19</v>
      </c>
      <c r="E336" s="5" t="s">
        <v>695</v>
      </c>
      <c r="F336" s="5" t="s">
        <v>699</v>
      </c>
    </row>
    <row r="337" spans="1:6" x14ac:dyDescent="0.2">
      <c r="A337" s="5">
        <v>500081</v>
      </c>
      <c r="B337" s="5" t="s">
        <v>430</v>
      </c>
      <c r="C337" s="5" t="s">
        <v>392</v>
      </c>
      <c r="D337" s="5" t="s">
        <v>19</v>
      </c>
      <c r="E337" s="5" t="s">
        <v>695</v>
      </c>
      <c r="F337" s="5" t="s">
        <v>699</v>
      </c>
    </row>
    <row r="338" spans="1:6" x14ac:dyDescent="0.2">
      <c r="A338" s="5">
        <v>500065</v>
      </c>
      <c r="B338" s="5" t="s">
        <v>417</v>
      </c>
      <c r="C338" s="5" t="s">
        <v>392</v>
      </c>
      <c r="D338" s="5" t="s">
        <v>19</v>
      </c>
      <c r="E338" s="5" t="s">
        <v>695</v>
      </c>
      <c r="F338" s="5" t="s">
        <v>699</v>
      </c>
    </row>
    <row r="339" spans="1:6" x14ac:dyDescent="0.2">
      <c r="A339" s="5">
        <v>500075</v>
      </c>
      <c r="B339" s="5" t="s">
        <v>425</v>
      </c>
      <c r="C339" s="5" t="s">
        <v>392</v>
      </c>
      <c r="D339" s="5" t="s">
        <v>19</v>
      </c>
      <c r="E339" s="5" t="s">
        <v>695</v>
      </c>
      <c r="F339" s="5" t="s">
        <v>699</v>
      </c>
    </row>
    <row r="340" spans="1:6" x14ac:dyDescent="0.2">
      <c r="A340" s="5">
        <v>500141</v>
      </c>
      <c r="B340" s="5" t="s">
        <v>436</v>
      </c>
      <c r="C340" s="5" t="s">
        <v>389</v>
      </c>
      <c r="D340" s="5" t="s">
        <v>19</v>
      </c>
      <c r="E340" s="5" t="s">
        <v>695</v>
      </c>
      <c r="F340" s="5" t="s">
        <v>699</v>
      </c>
    </row>
    <row r="341" spans="1:6" x14ac:dyDescent="0.2">
      <c r="A341" s="5">
        <v>500140</v>
      </c>
      <c r="B341" s="5" t="s">
        <v>435</v>
      </c>
      <c r="C341" s="5" t="s">
        <v>389</v>
      </c>
      <c r="D341" s="5" t="s">
        <v>19</v>
      </c>
      <c r="E341" s="5" t="s">
        <v>695</v>
      </c>
      <c r="F341" s="5" t="s">
        <v>699</v>
      </c>
    </row>
    <row r="342" spans="1:6" x14ac:dyDescent="0.2">
      <c r="A342" s="5">
        <v>500195</v>
      </c>
      <c r="B342" s="5" t="s">
        <v>674</v>
      </c>
      <c r="C342" s="5" t="s">
        <v>389</v>
      </c>
      <c r="D342" s="5" t="s">
        <v>19</v>
      </c>
      <c r="E342" s="5" t="s">
        <v>695</v>
      </c>
      <c r="F342" s="5" t="s">
        <v>699</v>
      </c>
    </row>
    <row r="343" spans="1:6" x14ac:dyDescent="0.2">
      <c r="A343" s="5">
        <v>500138</v>
      </c>
      <c r="B343" s="5" t="s">
        <v>441</v>
      </c>
      <c r="C343" s="5" t="s">
        <v>389</v>
      </c>
      <c r="D343" s="5" t="s">
        <v>19</v>
      </c>
      <c r="E343" s="5" t="s">
        <v>695</v>
      </c>
      <c r="F343" s="5" t="s">
        <v>699</v>
      </c>
    </row>
    <row r="344" spans="1:6" x14ac:dyDescent="0.2">
      <c r="A344" s="5">
        <v>500137</v>
      </c>
      <c r="B344" s="5" t="s">
        <v>440</v>
      </c>
      <c r="C344" s="5" t="s">
        <v>389</v>
      </c>
      <c r="D344" s="5" t="s">
        <v>19</v>
      </c>
      <c r="E344" s="5" t="s">
        <v>695</v>
      </c>
      <c r="F344" s="5" t="s">
        <v>699</v>
      </c>
    </row>
    <row r="345" spans="1:6" x14ac:dyDescent="0.2">
      <c r="A345" s="5">
        <v>500136</v>
      </c>
      <c r="B345" s="5" t="s">
        <v>445</v>
      </c>
      <c r="C345" s="5" t="s">
        <v>389</v>
      </c>
      <c r="D345" s="5" t="s">
        <v>19</v>
      </c>
      <c r="E345" s="5" t="s">
        <v>695</v>
      </c>
      <c r="F345" s="5" t="s">
        <v>699</v>
      </c>
    </row>
    <row r="346" spans="1:6" x14ac:dyDescent="0.2">
      <c r="A346" s="5">
        <v>500193</v>
      </c>
      <c r="B346" s="5" t="s">
        <v>672</v>
      </c>
      <c r="C346" s="5" t="s">
        <v>389</v>
      </c>
      <c r="D346" s="5" t="s">
        <v>19</v>
      </c>
      <c r="E346" s="5" t="s">
        <v>695</v>
      </c>
      <c r="F346" s="5" t="s">
        <v>699</v>
      </c>
    </row>
    <row r="347" spans="1:6" x14ac:dyDescent="0.2">
      <c r="A347" s="5">
        <v>500130</v>
      </c>
      <c r="B347" s="5" t="s">
        <v>439</v>
      </c>
      <c r="C347" s="5" t="s">
        <v>389</v>
      </c>
      <c r="D347" s="5" t="s">
        <v>19</v>
      </c>
      <c r="E347" s="5" t="s">
        <v>695</v>
      </c>
      <c r="F347" s="5" t="s">
        <v>699</v>
      </c>
    </row>
    <row r="348" spans="1:6" x14ac:dyDescent="0.2">
      <c r="A348" s="5">
        <v>500189</v>
      </c>
      <c r="B348" s="5" t="s">
        <v>668</v>
      </c>
      <c r="C348" s="5" t="s">
        <v>389</v>
      </c>
      <c r="D348" s="5" t="s">
        <v>19</v>
      </c>
      <c r="E348" s="5" t="s">
        <v>695</v>
      </c>
      <c r="F348" s="5" t="s">
        <v>699</v>
      </c>
    </row>
    <row r="349" spans="1:6" x14ac:dyDescent="0.2">
      <c r="A349" s="5">
        <v>500128</v>
      </c>
      <c r="B349" s="5" t="s">
        <v>444</v>
      </c>
      <c r="C349" s="5" t="s">
        <v>389</v>
      </c>
      <c r="D349" s="5" t="s">
        <v>19</v>
      </c>
      <c r="E349" s="5" t="s">
        <v>695</v>
      </c>
      <c r="F349" s="5" t="s">
        <v>699</v>
      </c>
    </row>
    <row r="350" spans="1:6" x14ac:dyDescent="0.2">
      <c r="A350" s="5">
        <v>500187</v>
      </c>
      <c r="B350" s="5" t="s">
        <v>666</v>
      </c>
      <c r="C350" s="5" t="s">
        <v>389</v>
      </c>
      <c r="D350" s="5" t="s">
        <v>19</v>
      </c>
      <c r="E350" s="5" t="s">
        <v>695</v>
      </c>
      <c r="F350" s="5" t="s">
        <v>699</v>
      </c>
    </row>
    <row r="351" spans="1:6" x14ac:dyDescent="0.2">
      <c r="A351" s="5">
        <v>500185</v>
      </c>
      <c r="B351" s="5" t="s">
        <v>664</v>
      </c>
      <c r="C351" s="5" t="s">
        <v>389</v>
      </c>
      <c r="D351" s="5" t="s">
        <v>19</v>
      </c>
      <c r="E351" s="5" t="s">
        <v>695</v>
      </c>
      <c r="F351" s="5" t="s">
        <v>699</v>
      </c>
    </row>
    <row r="352" spans="1:6" x14ac:dyDescent="0.2">
      <c r="A352" s="5">
        <v>500165</v>
      </c>
      <c r="B352" s="5" t="s">
        <v>443</v>
      </c>
      <c r="C352" s="5" t="s">
        <v>389</v>
      </c>
      <c r="D352" s="5" t="s">
        <v>19</v>
      </c>
      <c r="E352" s="5" t="s">
        <v>695</v>
      </c>
      <c r="F352" s="5" t="s">
        <v>699</v>
      </c>
    </row>
    <row r="353" spans="1:6" x14ac:dyDescent="0.2">
      <c r="A353" s="5">
        <v>500183</v>
      </c>
      <c r="B353" s="5" t="s">
        <v>662</v>
      </c>
      <c r="C353" s="5" t="s">
        <v>389</v>
      </c>
      <c r="D353" s="5" t="s">
        <v>19</v>
      </c>
      <c r="E353" s="5" t="s">
        <v>695</v>
      </c>
      <c r="F353" s="5" t="s">
        <v>699</v>
      </c>
    </row>
    <row r="354" spans="1:6" x14ac:dyDescent="0.2">
      <c r="A354" s="5">
        <v>500181</v>
      </c>
      <c r="B354" s="5" t="s">
        <v>660</v>
      </c>
      <c r="C354" s="5" t="s">
        <v>389</v>
      </c>
      <c r="D354" s="5" t="s">
        <v>19</v>
      </c>
      <c r="E354" s="5" t="s">
        <v>695</v>
      </c>
      <c r="F354" s="5" t="s">
        <v>699</v>
      </c>
    </row>
    <row r="355" spans="1:6" x14ac:dyDescent="0.2">
      <c r="A355" s="5">
        <v>500179</v>
      </c>
      <c r="B355" s="5" t="s">
        <v>658</v>
      </c>
      <c r="C355" s="5" t="s">
        <v>389</v>
      </c>
      <c r="D355" s="5" t="s">
        <v>19</v>
      </c>
      <c r="E355" s="5" t="s">
        <v>695</v>
      </c>
      <c r="F355" s="5" t="s">
        <v>699</v>
      </c>
    </row>
    <row r="356" spans="1:6" x14ac:dyDescent="0.2">
      <c r="A356" s="5">
        <v>500177</v>
      </c>
      <c r="B356" s="5" t="s">
        <v>656</v>
      </c>
      <c r="C356" s="5" t="s">
        <v>389</v>
      </c>
      <c r="D356" s="5" t="s">
        <v>19</v>
      </c>
      <c r="E356" s="5" t="s">
        <v>695</v>
      </c>
      <c r="F356" s="5" t="s">
        <v>699</v>
      </c>
    </row>
    <row r="357" spans="1:6" x14ac:dyDescent="0.2">
      <c r="A357" s="5">
        <v>500175</v>
      </c>
      <c r="B357" s="5" t="s">
        <v>654</v>
      </c>
      <c r="C357" s="5" t="s">
        <v>389</v>
      </c>
      <c r="D357" s="5" t="s">
        <v>19</v>
      </c>
      <c r="E357" s="5" t="s">
        <v>695</v>
      </c>
      <c r="F357" s="5" t="s">
        <v>699</v>
      </c>
    </row>
    <row r="358" spans="1:6" x14ac:dyDescent="0.2">
      <c r="A358" s="5">
        <v>500154</v>
      </c>
      <c r="B358" s="5" t="s">
        <v>442</v>
      </c>
      <c r="C358" s="5" t="s">
        <v>389</v>
      </c>
      <c r="D358" s="5" t="s">
        <v>19</v>
      </c>
      <c r="E358" s="5" t="s">
        <v>695</v>
      </c>
      <c r="F358" s="5" t="s">
        <v>699</v>
      </c>
    </row>
    <row r="359" spans="1:6" x14ac:dyDescent="0.2">
      <c r="A359" s="5">
        <v>500174</v>
      </c>
      <c r="B359" s="5" t="s">
        <v>653</v>
      </c>
      <c r="C359" s="5" t="s">
        <v>389</v>
      </c>
      <c r="D359" s="5" t="s">
        <v>19</v>
      </c>
      <c r="E359" s="5" t="s">
        <v>695</v>
      </c>
      <c r="F359" s="5" t="s">
        <v>699</v>
      </c>
    </row>
    <row r="360" spans="1:6" x14ac:dyDescent="0.2">
      <c r="A360" s="5">
        <v>500122</v>
      </c>
      <c r="B360" s="5" t="s">
        <v>438</v>
      </c>
      <c r="C360" s="5" t="s">
        <v>389</v>
      </c>
      <c r="D360" s="5" t="s">
        <v>19</v>
      </c>
      <c r="E360" s="5" t="s">
        <v>695</v>
      </c>
      <c r="F360" s="5" t="s">
        <v>699</v>
      </c>
    </row>
    <row r="361" spans="1:6" x14ac:dyDescent="0.2">
      <c r="A361" s="5">
        <v>500173</v>
      </c>
      <c r="B361" s="5" t="s">
        <v>652</v>
      </c>
      <c r="C361" s="5" t="s">
        <v>389</v>
      </c>
      <c r="D361" s="5" t="s">
        <v>19</v>
      </c>
      <c r="E361" s="5" t="s">
        <v>695</v>
      </c>
      <c r="F361" s="5" t="s">
        <v>699</v>
      </c>
    </row>
    <row r="362" spans="1:6" x14ac:dyDescent="0.2">
      <c r="A362" s="5">
        <v>500118</v>
      </c>
      <c r="B362" s="5" t="s">
        <v>437</v>
      </c>
      <c r="C362" s="5" t="s">
        <v>389</v>
      </c>
      <c r="D362" s="5" t="s">
        <v>19</v>
      </c>
      <c r="E362" s="5" t="s">
        <v>695</v>
      </c>
      <c r="F362" s="5" t="s">
        <v>699</v>
      </c>
    </row>
    <row r="363" spans="1:6" x14ac:dyDescent="0.2">
      <c r="A363" s="5">
        <v>500139</v>
      </c>
      <c r="B363" s="5" t="s">
        <v>748</v>
      </c>
      <c r="C363" s="5" t="s">
        <v>323</v>
      </c>
      <c r="D363" s="5" t="s">
        <v>19</v>
      </c>
      <c r="E363" s="5" t="s">
        <v>695</v>
      </c>
      <c r="F363" s="5" t="s">
        <v>699</v>
      </c>
    </row>
    <row r="364" spans="1:6" x14ac:dyDescent="0.2">
      <c r="A364" s="5">
        <v>500194</v>
      </c>
      <c r="B364" s="5" t="s">
        <v>673</v>
      </c>
      <c r="C364" s="5" t="s">
        <v>323</v>
      </c>
      <c r="D364" s="5" t="s">
        <v>19</v>
      </c>
      <c r="E364" s="5" t="s">
        <v>695</v>
      </c>
      <c r="F364" s="5" t="s">
        <v>699</v>
      </c>
    </row>
    <row r="365" spans="1:6" x14ac:dyDescent="0.2">
      <c r="A365" s="5">
        <v>500132</v>
      </c>
      <c r="B365" s="5" t="s">
        <v>348</v>
      </c>
      <c r="C365" s="5" t="s">
        <v>323</v>
      </c>
      <c r="D365" s="5" t="s">
        <v>19</v>
      </c>
      <c r="E365" s="5" t="s">
        <v>695</v>
      </c>
      <c r="F365" s="5" t="s">
        <v>699</v>
      </c>
    </row>
    <row r="366" spans="1:6" x14ac:dyDescent="0.2">
      <c r="A366" s="5">
        <v>500131</v>
      </c>
      <c r="B366" s="5" t="s">
        <v>347</v>
      </c>
      <c r="C366" s="5" t="s">
        <v>323</v>
      </c>
      <c r="D366" s="5" t="s">
        <v>19</v>
      </c>
      <c r="E366" s="5" t="s">
        <v>695</v>
      </c>
      <c r="F366" s="5" t="s">
        <v>699</v>
      </c>
    </row>
    <row r="367" spans="1:6" x14ac:dyDescent="0.2">
      <c r="A367" s="5">
        <v>500135</v>
      </c>
      <c r="B367" s="5" t="s">
        <v>351</v>
      </c>
      <c r="C367" s="5" t="s">
        <v>323</v>
      </c>
      <c r="D367" s="5" t="s">
        <v>19</v>
      </c>
      <c r="E367" s="5" t="s">
        <v>695</v>
      </c>
      <c r="F367" s="5" t="s">
        <v>699</v>
      </c>
    </row>
    <row r="368" spans="1:6" x14ac:dyDescent="0.2">
      <c r="A368" s="5">
        <v>500134</v>
      </c>
      <c r="B368" s="5" t="s">
        <v>350</v>
      </c>
      <c r="C368" s="5" t="s">
        <v>323</v>
      </c>
      <c r="D368" s="5" t="s">
        <v>19</v>
      </c>
      <c r="E368" s="5" t="s">
        <v>99</v>
      </c>
      <c r="F368" s="5" t="s">
        <v>699</v>
      </c>
    </row>
    <row r="369" spans="1:6" x14ac:dyDescent="0.2">
      <c r="A369" s="5">
        <v>500133</v>
      </c>
      <c r="B369" s="5" t="s">
        <v>349</v>
      </c>
      <c r="C369" s="5" t="s">
        <v>323</v>
      </c>
      <c r="D369" s="5" t="s">
        <v>19</v>
      </c>
      <c r="E369" s="5" t="s">
        <v>695</v>
      </c>
      <c r="F369" s="5" t="s">
        <v>699</v>
      </c>
    </row>
    <row r="370" spans="1:6" x14ac:dyDescent="0.2">
      <c r="A370" s="5">
        <v>500192</v>
      </c>
      <c r="B370" s="5" t="s">
        <v>671</v>
      </c>
      <c r="C370" s="5" t="s">
        <v>323</v>
      </c>
      <c r="D370" s="5" t="s">
        <v>19</v>
      </c>
      <c r="E370" s="5" t="s">
        <v>695</v>
      </c>
      <c r="F370" s="5" t="s">
        <v>699</v>
      </c>
    </row>
    <row r="371" spans="1:6" x14ac:dyDescent="0.2">
      <c r="A371" s="5">
        <v>500129</v>
      </c>
      <c r="B371" s="5" t="s">
        <v>346</v>
      </c>
      <c r="C371" s="5" t="s">
        <v>323</v>
      </c>
      <c r="D371" s="5" t="s">
        <v>19</v>
      </c>
      <c r="E371" s="5" t="s">
        <v>695</v>
      </c>
      <c r="F371" s="5" t="s">
        <v>699</v>
      </c>
    </row>
    <row r="372" spans="1:6" x14ac:dyDescent="0.2">
      <c r="A372" s="5">
        <v>500190</v>
      </c>
      <c r="B372" s="5" t="s">
        <v>669</v>
      </c>
      <c r="C372" s="5" t="s">
        <v>323</v>
      </c>
      <c r="D372" s="5" t="s">
        <v>19</v>
      </c>
      <c r="E372" s="5" t="s">
        <v>695</v>
      </c>
      <c r="F372" s="5" t="s">
        <v>699</v>
      </c>
    </row>
    <row r="373" spans="1:6" x14ac:dyDescent="0.2">
      <c r="A373" s="5">
        <v>500188</v>
      </c>
      <c r="B373" s="5" t="s">
        <v>667</v>
      </c>
      <c r="C373" s="5" t="s">
        <v>323</v>
      </c>
      <c r="D373" s="5" t="s">
        <v>19</v>
      </c>
      <c r="E373" s="5" t="s">
        <v>695</v>
      </c>
      <c r="F373" s="5" t="s">
        <v>699</v>
      </c>
    </row>
    <row r="374" spans="1:6" x14ac:dyDescent="0.2">
      <c r="A374" s="5">
        <v>500186</v>
      </c>
      <c r="B374" s="5" t="s">
        <v>665</v>
      </c>
      <c r="C374" s="5" t="s">
        <v>323</v>
      </c>
      <c r="D374" s="5" t="s">
        <v>19</v>
      </c>
      <c r="E374" s="5" t="s">
        <v>695</v>
      </c>
      <c r="F374" s="5" t="s">
        <v>699</v>
      </c>
    </row>
    <row r="375" spans="1:6" x14ac:dyDescent="0.2">
      <c r="A375" s="5">
        <v>500127</v>
      </c>
      <c r="B375" s="5" t="s">
        <v>345</v>
      </c>
      <c r="C375" s="5" t="s">
        <v>323</v>
      </c>
      <c r="D375" s="5" t="s">
        <v>19</v>
      </c>
      <c r="E375" s="5" t="s">
        <v>695</v>
      </c>
      <c r="F375" s="5" t="s">
        <v>699</v>
      </c>
    </row>
    <row r="376" spans="1:6" x14ac:dyDescent="0.2">
      <c r="A376" s="5">
        <v>500184</v>
      </c>
      <c r="B376" s="5" t="s">
        <v>663</v>
      </c>
      <c r="C376" s="5" t="s">
        <v>323</v>
      </c>
      <c r="D376" s="5" t="s">
        <v>19</v>
      </c>
      <c r="E376" s="5" t="s">
        <v>695</v>
      </c>
      <c r="F376" s="5" t="s">
        <v>699</v>
      </c>
    </row>
    <row r="377" spans="1:6" x14ac:dyDescent="0.2">
      <c r="A377" s="5">
        <v>500196</v>
      </c>
      <c r="B377" s="5" t="s">
        <v>675</v>
      </c>
      <c r="C377" s="5" t="s">
        <v>323</v>
      </c>
      <c r="D377" s="5" t="s">
        <v>19</v>
      </c>
      <c r="E377" s="5" t="s">
        <v>695</v>
      </c>
      <c r="F377" s="5" t="s">
        <v>699</v>
      </c>
    </row>
    <row r="378" spans="1:6" x14ac:dyDescent="0.2">
      <c r="A378" s="5">
        <v>500126</v>
      </c>
      <c r="B378" s="5" t="s">
        <v>344</v>
      </c>
      <c r="C378" s="5" t="s">
        <v>323</v>
      </c>
      <c r="D378" s="5" t="s">
        <v>19</v>
      </c>
      <c r="E378" s="5" t="s">
        <v>695</v>
      </c>
      <c r="F378" s="5" t="s">
        <v>699</v>
      </c>
    </row>
    <row r="379" spans="1:6" x14ac:dyDescent="0.2">
      <c r="A379" s="5">
        <v>500125</v>
      </c>
      <c r="B379" s="5" t="s">
        <v>343</v>
      </c>
      <c r="C379" s="5" t="s">
        <v>323</v>
      </c>
      <c r="D379" s="5" t="s">
        <v>19</v>
      </c>
      <c r="E379" s="5" t="s">
        <v>695</v>
      </c>
      <c r="F379" s="5" t="s">
        <v>699</v>
      </c>
    </row>
    <row r="380" spans="1:6" x14ac:dyDescent="0.2">
      <c r="A380" s="5">
        <v>500124</v>
      </c>
      <c r="B380" s="5" t="s">
        <v>342</v>
      </c>
      <c r="C380" s="5" t="s">
        <v>323</v>
      </c>
      <c r="D380" s="5" t="s">
        <v>19</v>
      </c>
      <c r="E380" s="5" t="s">
        <v>695</v>
      </c>
      <c r="F380" s="5" t="s">
        <v>699</v>
      </c>
    </row>
    <row r="381" spans="1:6" x14ac:dyDescent="0.2">
      <c r="A381" s="5">
        <v>500123</v>
      </c>
      <c r="B381" s="5" t="s">
        <v>341</v>
      </c>
      <c r="C381" s="5" t="s">
        <v>323</v>
      </c>
      <c r="D381" s="5" t="s">
        <v>19</v>
      </c>
      <c r="E381" s="5" t="s">
        <v>695</v>
      </c>
      <c r="F381" s="5" t="s">
        <v>699</v>
      </c>
    </row>
    <row r="382" spans="1:6" x14ac:dyDescent="0.2">
      <c r="A382" s="5">
        <v>500182</v>
      </c>
      <c r="B382" s="5" t="s">
        <v>661</v>
      </c>
      <c r="C382" s="5" t="s">
        <v>323</v>
      </c>
      <c r="D382" s="5" t="s">
        <v>19</v>
      </c>
      <c r="E382" s="5" t="s">
        <v>695</v>
      </c>
      <c r="F382" s="5" t="s">
        <v>699</v>
      </c>
    </row>
    <row r="383" spans="1:6" x14ac:dyDescent="0.2">
      <c r="A383" s="5">
        <v>500180</v>
      </c>
      <c r="B383" s="5" t="s">
        <v>659</v>
      </c>
      <c r="C383" s="5" t="s">
        <v>323</v>
      </c>
      <c r="D383" s="5" t="s">
        <v>19</v>
      </c>
      <c r="E383" s="5" t="s">
        <v>695</v>
      </c>
      <c r="F383" s="5" t="s">
        <v>699</v>
      </c>
    </row>
    <row r="384" spans="1:6" x14ac:dyDescent="0.2">
      <c r="A384" s="5">
        <v>500178</v>
      </c>
      <c r="B384" s="5" t="s">
        <v>657</v>
      </c>
      <c r="C384" s="5" t="s">
        <v>323</v>
      </c>
      <c r="D384" s="5" t="s">
        <v>19</v>
      </c>
      <c r="E384" s="5" t="s">
        <v>695</v>
      </c>
      <c r="F384" s="5" t="s">
        <v>699</v>
      </c>
    </row>
    <row r="385" spans="1:6" x14ac:dyDescent="0.2">
      <c r="A385" s="5">
        <v>500121</v>
      </c>
      <c r="B385" s="5" t="s">
        <v>340</v>
      </c>
      <c r="C385" s="5" t="s">
        <v>323</v>
      </c>
      <c r="D385" s="5" t="s">
        <v>19</v>
      </c>
      <c r="E385" s="5" t="s">
        <v>695</v>
      </c>
      <c r="F385" s="5" t="s">
        <v>699</v>
      </c>
    </row>
    <row r="386" spans="1:6" x14ac:dyDescent="0.2">
      <c r="A386" s="5">
        <v>600717</v>
      </c>
      <c r="B386" s="5" t="s">
        <v>448</v>
      </c>
      <c r="C386" s="5" t="s">
        <v>608</v>
      </c>
      <c r="D386" s="5" t="s">
        <v>20</v>
      </c>
      <c r="E386" s="5" t="s">
        <v>695</v>
      </c>
      <c r="F386" s="5" t="s">
        <v>699</v>
      </c>
    </row>
    <row r="387" spans="1:6" x14ac:dyDescent="0.2">
      <c r="A387" s="5">
        <v>600675</v>
      </c>
      <c r="B387" s="5" t="s">
        <v>447</v>
      </c>
      <c r="C387" s="5" t="s">
        <v>608</v>
      </c>
      <c r="D387" s="5" t="s">
        <v>20</v>
      </c>
      <c r="E387" s="5" t="s">
        <v>695</v>
      </c>
      <c r="F387" s="5" t="s">
        <v>699</v>
      </c>
    </row>
    <row r="388" spans="1:6" x14ac:dyDescent="0.2">
      <c r="A388" s="5">
        <v>600816</v>
      </c>
      <c r="B388" s="5" t="s">
        <v>457</v>
      </c>
      <c r="C388" s="5" t="s">
        <v>608</v>
      </c>
      <c r="D388" s="5" t="s">
        <v>20</v>
      </c>
      <c r="E388" s="5" t="s">
        <v>695</v>
      </c>
      <c r="F388" s="5" t="s">
        <v>699</v>
      </c>
    </row>
    <row r="389" spans="1:6" x14ac:dyDescent="0.2">
      <c r="A389" s="5">
        <v>600758</v>
      </c>
      <c r="B389" s="5" t="s">
        <v>450</v>
      </c>
      <c r="C389" s="5" t="s">
        <v>608</v>
      </c>
      <c r="D389" s="5" t="s">
        <v>20</v>
      </c>
      <c r="E389" s="5" t="s">
        <v>695</v>
      </c>
      <c r="F389" s="5" t="s">
        <v>699</v>
      </c>
    </row>
    <row r="390" spans="1:6" x14ac:dyDescent="0.2">
      <c r="A390" s="5">
        <v>600671</v>
      </c>
      <c r="B390" s="5" t="s">
        <v>453</v>
      </c>
      <c r="C390" s="5" t="s">
        <v>608</v>
      </c>
      <c r="D390" s="5" t="s">
        <v>20</v>
      </c>
      <c r="E390" s="5" t="s">
        <v>695</v>
      </c>
      <c r="F390" s="5" t="s">
        <v>699</v>
      </c>
    </row>
    <row r="391" spans="1:6" x14ac:dyDescent="0.2">
      <c r="A391" s="5">
        <v>600804</v>
      </c>
      <c r="B391" s="5" t="s">
        <v>456</v>
      </c>
      <c r="C391" s="5" t="s">
        <v>608</v>
      </c>
      <c r="D391" s="5" t="s">
        <v>20</v>
      </c>
      <c r="E391" s="5" t="s">
        <v>695</v>
      </c>
      <c r="F391" s="5" t="s">
        <v>699</v>
      </c>
    </row>
    <row r="392" spans="1:6" x14ac:dyDescent="0.2">
      <c r="A392" s="5">
        <v>600813</v>
      </c>
      <c r="B392" s="5" t="s">
        <v>749</v>
      </c>
      <c r="C392" s="5" t="s">
        <v>608</v>
      </c>
      <c r="D392" s="5" t="s">
        <v>20</v>
      </c>
      <c r="E392" s="5" t="s">
        <v>695</v>
      </c>
      <c r="F392" s="5" t="s">
        <v>699</v>
      </c>
    </row>
    <row r="393" spans="1:6" x14ac:dyDescent="0.2">
      <c r="A393" s="5">
        <v>600803</v>
      </c>
      <c r="B393" s="5" t="s">
        <v>455</v>
      </c>
      <c r="C393" s="5" t="s">
        <v>608</v>
      </c>
      <c r="D393" s="5" t="s">
        <v>20</v>
      </c>
      <c r="E393" s="5" t="s">
        <v>695</v>
      </c>
      <c r="F393" s="5" t="s">
        <v>699</v>
      </c>
    </row>
    <row r="394" spans="1:6" x14ac:dyDescent="0.2">
      <c r="A394" s="5">
        <v>600802</v>
      </c>
      <c r="B394" s="5" t="s">
        <v>454</v>
      </c>
      <c r="C394" s="5" t="s">
        <v>608</v>
      </c>
      <c r="D394" s="5" t="s">
        <v>20</v>
      </c>
      <c r="E394" s="5" t="s">
        <v>695</v>
      </c>
      <c r="F394" s="5" t="s">
        <v>699</v>
      </c>
    </row>
    <row r="395" spans="1:6" x14ac:dyDescent="0.2">
      <c r="A395" s="5">
        <v>600772</v>
      </c>
      <c r="B395" s="5" t="s">
        <v>452</v>
      </c>
      <c r="C395" s="5" t="s">
        <v>608</v>
      </c>
      <c r="D395" s="5" t="s">
        <v>20</v>
      </c>
      <c r="E395" s="5" t="s">
        <v>695</v>
      </c>
      <c r="F395" s="5" t="s">
        <v>699</v>
      </c>
    </row>
    <row r="396" spans="1:6" x14ac:dyDescent="0.2">
      <c r="A396" s="5">
        <v>600771</v>
      </c>
      <c r="B396" s="5" t="s">
        <v>451</v>
      </c>
      <c r="C396" s="5" t="s">
        <v>608</v>
      </c>
      <c r="D396" s="5" t="s">
        <v>20</v>
      </c>
      <c r="E396" s="5" t="s">
        <v>695</v>
      </c>
      <c r="F396" s="5" t="s">
        <v>699</v>
      </c>
    </row>
    <row r="397" spans="1:6" x14ac:dyDescent="0.2">
      <c r="A397" s="5">
        <v>600667</v>
      </c>
      <c r="B397" s="5" t="s">
        <v>446</v>
      </c>
      <c r="C397" s="5" t="s">
        <v>608</v>
      </c>
      <c r="D397" s="5" t="s">
        <v>20</v>
      </c>
      <c r="E397" s="5" t="s">
        <v>695</v>
      </c>
      <c r="F397" s="5" t="s">
        <v>699</v>
      </c>
    </row>
    <row r="398" spans="1:6" x14ac:dyDescent="0.2">
      <c r="A398" s="5">
        <v>600755</v>
      </c>
      <c r="B398" s="5" t="s">
        <v>449</v>
      </c>
      <c r="C398" s="5" t="s">
        <v>608</v>
      </c>
      <c r="D398" s="5" t="s">
        <v>20</v>
      </c>
      <c r="E398" s="5" t="s">
        <v>695</v>
      </c>
      <c r="F398" s="5" t="s">
        <v>699</v>
      </c>
    </row>
    <row r="399" spans="1:6" x14ac:dyDescent="0.2">
      <c r="A399" s="5">
        <v>600811</v>
      </c>
      <c r="B399" s="5" t="s">
        <v>750</v>
      </c>
      <c r="C399" s="5" t="s">
        <v>608</v>
      </c>
      <c r="D399" s="5" t="s">
        <v>20</v>
      </c>
      <c r="E399" s="5" t="s">
        <v>695</v>
      </c>
      <c r="F399" s="5" t="s">
        <v>699</v>
      </c>
    </row>
    <row r="400" spans="1:6" x14ac:dyDescent="0.2">
      <c r="A400" s="5">
        <v>600581</v>
      </c>
      <c r="B400" s="5" t="s">
        <v>479</v>
      </c>
      <c r="C400" s="5" t="s">
        <v>471</v>
      </c>
      <c r="D400" s="5" t="s">
        <v>20</v>
      </c>
      <c r="E400" s="5" t="s">
        <v>695</v>
      </c>
      <c r="F400" s="5" t="s">
        <v>699</v>
      </c>
    </row>
    <row r="401" spans="1:6" x14ac:dyDescent="0.2">
      <c r="A401" s="5">
        <v>600361</v>
      </c>
      <c r="B401" s="5" t="s">
        <v>555</v>
      </c>
      <c r="C401" s="5" t="s">
        <v>751</v>
      </c>
      <c r="D401" s="5" t="s">
        <v>20</v>
      </c>
      <c r="E401" s="5" t="s">
        <v>99</v>
      </c>
      <c r="F401" s="5" t="s">
        <v>699</v>
      </c>
    </row>
    <row r="402" spans="1:6" x14ac:dyDescent="0.2">
      <c r="A402" s="5">
        <v>600626</v>
      </c>
      <c r="B402" s="5" t="s">
        <v>504</v>
      </c>
      <c r="C402" s="5" t="s">
        <v>492</v>
      </c>
      <c r="D402" s="5" t="s">
        <v>20</v>
      </c>
      <c r="E402" s="5" t="s">
        <v>695</v>
      </c>
      <c r="F402" s="5" t="s">
        <v>699</v>
      </c>
    </row>
    <row r="403" spans="1:6" x14ac:dyDescent="0.2">
      <c r="A403" s="5">
        <v>600537</v>
      </c>
      <c r="B403" s="5" t="s">
        <v>460</v>
      </c>
      <c r="C403" s="5" t="s">
        <v>458</v>
      </c>
      <c r="D403" s="5" t="s">
        <v>20</v>
      </c>
      <c r="E403" s="5" t="s">
        <v>695</v>
      </c>
      <c r="F403" s="5" t="s">
        <v>699</v>
      </c>
    </row>
    <row r="404" spans="1:6" x14ac:dyDescent="0.2">
      <c r="A404" s="5">
        <v>600598</v>
      </c>
      <c r="B404" s="5" t="s">
        <v>494</v>
      </c>
      <c r="C404" s="5" t="s">
        <v>492</v>
      </c>
      <c r="D404" s="5" t="s">
        <v>20</v>
      </c>
      <c r="E404" s="5" t="s">
        <v>695</v>
      </c>
      <c r="F404" s="5" t="s">
        <v>699</v>
      </c>
    </row>
    <row r="405" spans="1:6" x14ac:dyDescent="0.2">
      <c r="A405" s="5">
        <v>600381</v>
      </c>
      <c r="B405" s="5" t="s">
        <v>519</v>
      </c>
      <c r="C405" s="5" t="s">
        <v>619</v>
      </c>
      <c r="D405" s="5" t="s">
        <v>20</v>
      </c>
      <c r="E405" s="5" t="s">
        <v>695</v>
      </c>
      <c r="F405" s="5" t="s">
        <v>699</v>
      </c>
    </row>
    <row r="406" spans="1:6" x14ac:dyDescent="0.2">
      <c r="A406" s="5">
        <v>600488</v>
      </c>
      <c r="B406" s="5" t="s">
        <v>559</v>
      </c>
      <c r="C406" s="5" t="s">
        <v>751</v>
      </c>
      <c r="D406" s="5" t="s">
        <v>20</v>
      </c>
      <c r="E406" s="5" t="s">
        <v>695</v>
      </c>
      <c r="F406" s="5" t="s">
        <v>699</v>
      </c>
    </row>
    <row r="407" spans="1:6" x14ac:dyDescent="0.2">
      <c r="A407" s="5">
        <v>600538</v>
      </c>
      <c r="B407" s="5" t="s">
        <v>462</v>
      </c>
      <c r="C407" s="5" t="s">
        <v>458</v>
      </c>
      <c r="D407" s="5" t="s">
        <v>20</v>
      </c>
      <c r="E407" s="5" t="s">
        <v>695</v>
      </c>
      <c r="F407" s="5" t="s">
        <v>699</v>
      </c>
    </row>
    <row r="408" spans="1:6" x14ac:dyDescent="0.2">
      <c r="A408" s="5">
        <v>600718</v>
      </c>
      <c r="B408" s="5" t="s">
        <v>560</v>
      </c>
      <c r="C408" s="5" t="s">
        <v>751</v>
      </c>
      <c r="D408" s="5" t="s">
        <v>20</v>
      </c>
      <c r="E408" s="5" t="s">
        <v>695</v>
      </c>
      <c r="F408" s="5" t="s">
        <v>699</v>
      </c>
    </row>
    <row r="409" spans="1:6" x14ac:dyDescent="0.2">
      <c r="A409" s="5">
        <v>600736</v>
      </c>
      <c r="B409" s="5" t="s">
        <v>563</v>
      </c>
      <c r="C409" s="5" t="s">
        <v>751</v>
      </c>
      <c r="D409" s="5" t="s">
        <v>20</v>
      </c>
      <c r="E409" s="5" t="s">
        <v>695</v>
      </c>
      <c r="F409" s="5" t="s">
        <v>699</v>
      </c>
    </row>
    <row r="410" spans="1:6" x14ac:dyDescent="0.2">
      <c r="A410" s="5">
        <v>600641</v>
      </c>
      <c r="B410" s="5" t="s">
        <v>516</v>
      </c>
      <c r="C410" s="5" t="s">
        <v>619</v>
      </c>
      <c r="D410" s="5" t="s">
        <v>20</v>
      </c>
      <c r="E410" s="5" t="s">
        <v>695</v>
      </c>
      <c r="F410" s="5" t="s">
        <v>699</v>
      </c>
    </row>
    <row r="411" spans="1:6" x14ac:dyDescent="0.2">
      <c r="A411" s="5">
        <v>600541</v>
      </c>
      <c r="B411" s="5" t="s">
        <v>550</v>
      </c>
      <c r="C411" s="5" t="s">
        <v>751</v>
      </c>
      <c r="D411" s="5" t="s">
        <v>20</v>
      </c>
      <c r="E411" s="5" t="s">
        <v>695</v>
      </c>
      <c r="F411" s="5" t="s">
        <v>699</v>
      </c>
    </row>
    <row r="412" spans="1:6" x14ac:dyDescent="0.2">
      <c r="A412" s="5">
        <v>600434</v>
      </c>
      <c r="B412" s="5" t="s">
        <v>470</v>
      </c>
      <c r="C412" s="5" t="s">
        <v>458</v>
      </c>
      <c r="D412" s="5" t="s">
        <v>20</v>
      </c>
      <c r="E412" s="5" t="s">
        <v>696</v>
      </c>
      <c r="F412" s="5" t="s">
        <v>699</v>
      </c>
    </row>
    <row r="413" spans="1:6" x14ac:dyDescent="0.2">
      <c r="A413" s="5">
        <v>600544</v>
      </c>
      <c r="B413" s="5" t="s">
        <v>499</v>
      </c>
      <c r="C413" s="5" t="s">
        <v>492</v>
      </c>
      <c r="D413" s="5" t="s">
        <v>20</v>
      </c>
      <c r="E413" s="5" t="s">
        <v>695</v>
      </c>
      <c r="F413" s="5" t="s">
        <v>699</v>
      </c>
    </row>
    <row r="414" spans="1:6" x14ac:dyDescent="0.2">
      <c r="A414" s="5">
        <v>600642</v>
      </c>
      <c r="B414" s="5" t="s">
        <v>509</v>
      </c>
      <c r="C414" s="5" t="s">
        <v>492</v>
      </c>
      <c r="D414" s="5" t="s">
        <v>20</v>
      </c>
      <c r="E414" s="5" t="s">
        <v>99</v>
      </c>
      <c r="F414" s="5" t="s">
        <v>699</v>
      </c>
    </row>
    <row r="415" spans="1:6" x14ac:dyDescent="0.2">
      <c r="A415" s="5">
        <v>600740</v>
      </c>
      <c r="B415" s="5" t="s">
        <v>466</v>
      </c>
      <c r="C415" s="5" t="s">
        <v>458</v>
      </c>
      <c r="D415" s="5" t="s">
        <v>20</v>
      </c>
      <c r="E415" s="5" t="s">
        <v>695</v>
      </c>
      <c r="F415" s="5" t="s">
        <v>699</v>
      </c>
    </row>
    <row r="416" spans="1:6" x14ac:dyDescent="0.2">
      <c r="A416" s="5">
        <v>600720</v>
      </c>
      <c r="B416" s="5" t="s">
        <v>464</v>
      </c>
      <c r="C416" s="5" t="s">
        <v>458</v>
      </c>
      <c r="D416" s="5" t="s">
        <v>20</v>
      </c>
      <c r="E416" s="5" t="s">
        <v>695</v>
      </c>
      <c r="F416" s="5" t="s">
        <v>699</v>
      </c>
    </row>
    <row r="417" spans="1:6" x14ac:dyDescent="0.2">
      <c r="A417" s="5">
        <v>600462</v>
      </c>
      <c r="B417" s="5" t="s">
        <v>558</v>
      </c>
      <c r="C417" s="5" t="s">
        <v>751</v>
      </c>
      <c r="D417" s="5" t="s">
        <v>20</v>
      </c>
      <c r="E417" s="5" t="s">
        <v>695</v>
      </c>
      <c r="F417" s="5" t="s">
        <v>699</v>
      </c>
    </row>
    <row r="418" spans="1:6" x14ac:dyDescent="0.2">
      <c r="A418" s="5">
        <v>600594</v>
      </c>
      <c r="B418" s="5" t="s">
        <v>752</v>
      </c>
      <c r="C418" s="5" t="s">
        <v>458</v>
      </c>
      <c r="D418" s="5" t="s">
        <v>20</v>
      </c>
      <c r="E418" s="5" t="s">
        <v>695</v>
      </c>
      <c r="F418" s="5" t="s">
        <v>699</v>
      </c>
    </row>
    <row r="419" spans="1:6" x14ac:dyDescent="0.2">
      <c r="A419" s="5">
        <v>600726</v>
      </c>
      <c r="B419" s="5" t="s">
        <v>465</v>
      </c>
      <c r="C419" s="5" t="s">
        <v>458</v>
      </c>
      <c r="D419" s="5" t="s">
        <v>20</v>
      </c>
      <c r="E419" s="5" t="s">
        <v>695</v>
      </c>
      <c r="F419" s="5" t="s">
        <v>699</v>
      </c>
    </row>
    <row r="420" spans="1:6" x14ac:dyDescent="0.2">
      <c r="A420" s="5">
        <v>600592</v>
      </c>
      <c r="B420" s="5" t="s">
        <v>753</v>
      </c>
      <c r="C420" s="5" t="s">
        <v>458</v>
      </c>
      <c r="D420" s="5" t="s">
        <v>20</v>
      </c>
      <c r="E420" s="5" t="s">
        <v>99</v>
      </c>
      <c r="F420" s="5" t="s">
        <v>699</v>
      </c>
    </row>
    <row r="421" spans="1:6" x14ac:dyDescent="0.2">
      <c r="A421" s="5">
        <v>600747</v>
      </c>
      <c r="B421" s="5" t="s">
        <v>468</v>
      </c>
      <c r="C421" s="5" t="s">
        <v>458</v>
      </c>
      <c r="D421" s="5" t="s">
        <v>20</v>
      </c>
      <c r="E421" s="5" t="s">
        <v>695</v>
      </c>
      <c r="F421" s="5" t="s">
        <v>699</v>
      </c>
    </row>
    <row r="422" spans="1:6" x14ac:dyDescent="0.2">
      <c r="A422" s="5">
        <v>600617</v>
      </c>
      <c r="B422" s="5" t="s">
        <v>754</v>
      </c>
      <c r="C422" s="5" t="s">
        <v>751</v>
      </c>
      <c r="D422" s="5" t="s">
        <v>20</v>
      </c>
      <c r="E422" s="5" t="s">
        <v>695</v>
      </c>
      <c r="F422" s="5" t="s">
        <v>699</v>
      </c>
    </row>
    <row r="423" spans="1:6" x14ac:dyDescent="0.2">
      <c r="A423" s="5">
        <v>600525</v>
      </c>
      <c r="B423" s="5" t="s">
        <v>463</v>
      </c>
      <c r="C423" s="5" t="s">
        <v>458</v>
      </c>
      <c r="D423" s="5" t="s">
        <v>20</v>
      </c>
      <c r="E423" s="5" t="s">
        <v>695</v>
      </c>
      <c r="F423" s="5" t="s">
        <v>699</v>
      </c>
    </row>
    <row r="424" spans="1:6" x14ac:dyDescent="0.2">
      <c r="A424" s="5">
        <v>600619</v>
      </c>
      <c r="B424" s="5" t="s">
        <v>469</v>
      </c>
      <c r="C424" s="5" t="s">
        <v>458</v>
      </c>
      <c r="D424" s="5" t="s">
        <v>20</v>
      </c>
      <c r="E424" s="5" t="s">
        <v>695</v>
      </c>
      <c r="F424" s="5" t="s">
        <v>699</v>
      </c>
    </row>
    <row r="425" spans="1:6" x14ac:dyDescent="0.2">
      <c r="A425" s="5">
        <v>600564</v>
      </c>
      <c r="B425" s="5" t="s">
        <v>491</v>
      </c>
      <c r="C425" s="5" t="s">
        <v>482</v>
      </c>
      <c r="D425" s="5" t="s">
        <v>20</v>
      </c>
      <c r="E425" s="5" t="s">
        <v>695</v>
      </c>
      <c r="F425" s="5" t="s">
        <v>699</v>
      </c>
    </row>
    <row r="426" spans="1:6" x14ac:dyDescent="0.2">
      <c r="A426" s="5">
        <v>600410</v>
      </c>
      <c r="B426" s="5" t="s">
        <v>490</v>
      </c>
      <c r="C426" s="5" t="s">
        <v>482</v>
      </c>
      <c r="D426" s="5" t="s">
        <v>20</v>
      </c>
      <c r="E426" s="5" t="s">
        <v>695</v>
      </c>
      <c r="F426" s="5" t="s">
        <v>699</v>
      </c>
    </row>
    <row r="427" spans="1:6" x14ac:dyDescent="0.2">
      <c r="A427" s="5">
        <v>600110</v>
      </c>
      <c r="B427" s="5" t="s">
        <v>483</v>
      </c>
      <c r="C427" s="5" t="s">
        <v>482</v>
      </c>
      <c r="D427" s="5" t="s">
        <v>20</v>
      </c>
      <c r="E427" s="5" t="s">
        <v>695</v>
      </c>
      <c r="F427" s="5" t="s">
        <v>699</v>
      </c>
    </row>
    <row r="428" spans="1:6" x14ac:dyDescent="0.2">
      <c r="A428" s="5">
        <v>600256</v>
      </c>
      <c r="B428" s="5" t="s">
        <v>486</v>
      </c>
      <c r="C428" s="5" t="s">
        <v>482</v>
      </c>
      <c r="D428" s="5" t="s">
        <v>20</v>
      </c>
      <c r="E428" s="5" t="s">
        <v>695</v>
      </c>
      <c r="F428" s="5" t="s">
        <v>699</v>
      </c>
    </row>
    <row r="429" spans="1:6" x14ac:dyDescent="0.2">
      <c r="A429" s="5">
        <v>600441</v>
      </c>
      <c r="B429" s="5" t="s">
        <v>485</v>
      </c>
      <c r="C429" s="5" t="s">
        <v>482</v>
      </c>
      <c r="D429" s="5" t="s">
        <v>20</v>
      </c>
      <c r="E429" s="5" t="s">
        <v>695</v>
      </c>
      <c r="F429" s="5" t="s">
        <v>699</v>
      </c>
    </row>
    <row r="430" spans="1:6" x14ac:dyDescent="0.2">
      <c r="A430" s="5">
        <v>600287</v>
      </c>
      <c r="B430" s="5" t="s">
        <v>489</v>
      </c>
      <c r="C430" s="5" t="s">
        <v>482</v>
      </c>
      <c r="D430" s="5" t="s">
        <v>20</v>
      </c>
      <c r="E430" s="5" t="s">
        <v>695</v>
      </c>
      <c r="F430" s="5" t="s">
        <v>699</v>
      </c>
    </row>
    <row r="431" spans="1:6" x14ac:dyDescent="0.2">
      <c r="A431" s="5">
        <v>600440</v>
      </c>
      <c r="B431" s="5" t="s">
        <v>487</v>
      </c>
      <c r="C431" s="5" t="s">
        <v>482</v>
      </c>
      <c r="D431" s="5" t="s">
        <v>20</v>
      </c>
      <c r="E431" s="5" t="s">
        <v>695</v>
      </c>
      <c r="F431" s="5" t="s">
        <v>699</v>
      </c>
    </row>
    <row r="432" spans="1:6" x14ac:dyDescent="0.2">
      <c r="A432" s="5">
        <v>600389</v>
      </c>
      <c r="B432" s="5" t="s">
        <v>82</v>
      </c>
      <c r="C432" s="5" t="s">
        <v>482</v>
      </c>
      <c r="D432" s="5" t="s">
        <v>20</v>
      </c>
      <c r="E432" s="5" t="s">
        <v>695</v>
      </c>
      <c r="F432" s="5" t="s">
        <v>699</v>
      </c>
    </row>
    <row r="433" spans="1:6" x14ac:dyDescent="0.2">
      <c r="A433" s="5">
        <v>600353</v>
      </c>
      <c r="B433" s="5" t="s">
        <v>488</v>
      </c>
      <c r="C433" s="5" t="s">
        <v>482</v>
      </c>
      <c r="D433" s="5" t="s">
        <v>20</v>
      </c>
      <c r="E433" s="5" t="s">
        <v>695</v>
      </c>
      <c r="F433" s="5" t="s">
        <v>699</v>
      </c>
    </row>
    <row r="434" spans="1:6" x14ac:dyDescent="0.2">
      <c r="A434" s="5">
        <v>600184</v>
      </c>
      <c r="B434" s="5" t="s">
        <v>755</v>
      </c>
      <c r="C434" s="5" t="s">
        <v>482</v>
      </c>
      <c r="D434" s="5" t="s">
        <v>20</v>
      </c>
      <c r="E434" s="5" t="s">
        <v>695</v>
      </c>
      <c r="F434" s="5" t="s">
        <v>699</v>
      </c>
    </row>
    <row r="435" spans="1:6" x14ac:dyDescent="0.2">
      <c r="A435" s="5">
        <v>600493</v>
      </c>
      <c r="B435" s="5" t="s">
        <v>756</v>
      </c>
      <c r="C435" s="5" t="s">
        <v>482</v>
      </c>
      <c r="D435" s="5" t="s">
        <v>20</v>
      </c>
      <c r="E435" s="5" t="s">
        <v>695</v>
      </c>
      <c r="F435" s="5" t="s">
        <v>699</v>
      </c>
    </row>
    <row r="436" spans="1:6" x14ac:dyDescent="0.2">
      <c r="A436" s="5">
        <v>600180</v>
      </c>
      <c r="B436" s="5" t="s">
        <v>757</v>
      </c>
      <c r="C436" s="5" t="s">
        <v>482</v>
      </c>
      <c r="D436" s="5" t="s">
        <v>20</v>
      </c>
      <c r="E436" s="5" t="s">
        <v>695</v>
      </c>
      <c r="F436" s="5" t="s">
        <v>699</v>
      </c>
    </row>
    <row r="437" spans="1:6" x14ac:dyDescent="0.2">
      <c r="A437" s="5">
        <v>600277</v>
      </c>
      <c r="B437" s="5" t="s">
        <v>484</v>
      </c>
      <c r="C437" s="5" t="s">
        <v>482</v>
      </c>
      <c r="D437" s="5" t="s">
        <v>20</v>
      </c>
      <c r="E437" s="5" t="s">
        <v>695</v>
      </c>
      <c r="F437" s="5" t="s">
        <v>699</v>
      </c>
    </row>
    <row r="438" spans="1:6" x14ac:dyDescent="0.2">
      <c r="A438" s="5">
        <v>600179</v>
      </c>
      <c r="B438" s="5" t="s">
        <v>758</v>
      </c>
      <c r="C438" s="5" t="s">
        <v>482</v>
      </c>
      <c r="D438" s="5" t="s">
        <v>20</v>
      </c>
      <c r="E438" s="5" t="s">
        <v>695</v>
      </c>
      <c r="F438" s="5" t="s">
        <v>699</v>
      </c>
    </row>
    <row r="439" spans="1:6" x14ac:dyDescent="0.2">
      <c r="A439" s="5">
        <v>600435</v>
      </c>
      <c r="B439" s="5" t="s">
        <v>759</v>
      </c>
      <c r="C439" s="5" t="s">
        <v>482</v>
      </c>
      <c r="D439" s="5" t="s">
        <v>20</v>
      </c>
      <c r="E439" s="5" t="s">
        <v>695</v>
      </c>
      <c r="F439" s="5" t="s">
        <v>699</v>
      </c>
    </row>
    <row r="440" spans="1:6" x14ac:dyDescent="0.2">
      <c r="A440" s="5">
        <v>600607</v>
      </c>
      <c r="B440" s="5" t="s">
        <v>461</v>
      </c>
      <c r="C440" s="5" t="s">
        <v>458</v>
      </c>
      <c r="D440" s="5" t="s">
        <v>20</v>
      </c>
      <c r="E440" s="5" t="s">
        <v>695</v>
      </c>
      <c r="F440" s="5" t="s">
        <v>699</v>
      </c>
    </row>
    <row r="441" spans="1:6" x14ac:dyDescent="0.2">
      <c r="A441" s="5">
        <v>600616</v>
      </c>
      <c r="B441" s="5" t="s">
        <v>459</v>
      </c>
      <c r="C441" s="5" t="s">
        <v>458</v>
      </c>
      <c r="D441" s="5" t="s">
        <v>20</v>
      </c>
      <c r="E441" s="5" t="s">
        <v>695</v>
      </c>
      <c r="F441" s="5" t="s">
        <v>699</v>
      </c>
    </row>
    <row r="442" spans="1:6" x14ac:dyDescent="0.2">
      <c r="A442" s="5">
        <v>600568</v>
      </c>
      <c r="B442" s="5" t="s">
        <v>90</v>
      </c>
      <c r="C442" s="5" t="s">
        <v>492</v>
      </c>
      <c r="D442" s="5" t="s">
        <v>20</v>
      </c>
      <c r="E442" s="5" t="s">
        <v>695</v>
      </c>
      <c r="F442" s="5" t="s">
        <v>699</v>
      </c>
    </row>
    <row r="443" spans="1:6" x14ac:dyDescent="0.2">
      <c r="A443" s="5">
        <v>600612</v>
      </c>
      <c r="B443" s="5" t="s">
        <v>503</v>
      </c>
      <c r="C443" s="5" t="s">
        <v>458</v>
      </c>
      <c r="D443" s="5" t="s">
        <v>20</v>
      </c>
      <c r="E443" s="5" t="s">
        <v>695</v>
      </c>
      <c r="F443" s="5" t="s">
        <v>699</v>
      </c>
    </row>
    <row r="444" spans="1:6" x14ac:dyDescent="0.2">
      <c r="A444" s="5">
        <v>600512</v>
      </c>
      <c r="B444" s="5" t="s">
        <v>473</v>
      </c>
      <c r="C444" s="5" t="s">
        <v>471</v>
      </c>
      <c r="D444" s="5" t="s">
        <v>20</v>
      </c>
      <c r="E444" s="5" t="s">
        <v>695</v>
      </c>
      <c r="F444" s="5" t="s">
        <v>699</v>
      </c>
    </row>
    <row r="445" spans="1:6" x14ac:dyDescent="0.2">
      <c r="A445" s="5">
        <v>600593</v>
      </c>
      <c r="B445" s="5" t="s">
        <v>552</v>
      </c>
      <c r="C445" s="5" t="s">
        <v>751</v>
      </c>
      <c r="D445" s="5" t="s">
        <v>20</v>
      </c>
      <c r="E445" s="5" t="s">
        <v>695</v>
      </c>
      <c r="F445" s="5" t="s">
        <v>699</v>
      </c>
    </row>
    <row r="446" spans="1:6" x14ac:dyDescent="0.2">
      <c r="A446" s="5">
        <v>600468</v>
      </c>
      <c r="B446" s="5" t="s">
        <v>556</v>
      </c>
      <c r="C446" s="5" t="s">
        <v>751</v>
      </c>
      <c r="D446" s="5" t="s">
        <v>20</v>
      </c>
      <c r="E446" s="5" t="s">
        <v>695</v>
      </c>
      <c r="F446" s="5" t="s">
        <v>699</v>
      </c>
    </row>
    <row r="447" spans="1:6" x14ac:dyDescent="0.2">
      <c r="A447" s="5">
        <v>600646</v>
      </c>
      <c r="B447" s="5" t="s">
        <v>481</v>
      </c>
      <c r="C447" s="5" t="s">
        <v>471</v>
      </c>
      <c r="D447" s="5" t="s">
        <v>20</v>
      </c>
      <c r="E447" s="5" t="s">
        <v>695</v>
      </c>
      <c r="F447" s="5" t="s">
        <v>699</v>
      </c>
    </row>
    <row r="448" spans="1:6" x14ac:dyDescent="0.2">
      <c r="A448" s="5">
        <v>600084</v>
      </c>
      <c r="B448" s="5" t="s">
        <v>472</v>
      </c>
      <c r="C448" s="5" t="s">
        <v>471</v>
      </c>
      <c r="D448" s="5" t="s">
        <v>20</v>
      </c>
      <c r="E448" s="5" t="s">
        <v>695</v>
      </c>
      <c r="F448" s="5" t="s">
        <v>699</v>
      </c>
    </row>
    <row r="449" spans="1:6" x14ac:dyDescent="0.2">
      <c r="A449" s="5">
        <v>600721</v>
      </c>
      <c r="B449" s="5" t="s">
        <v>474</v>
      </c>
      <c r="C449" s="5" t="s">
        <v>471</v>
      </c>
      <c r="D449" s="5" t="s">
        <v>20</v>
      </c>
      <c r="E449" s="5" t="s">
        <v>695</v>
      </c>
      <c r="F449" s="5" t="s">
        <v>699</v>
      </c>
    </row>
    <row r="450" spans="1:6" x14ac:dyDescent="0.2">
      <c r="A450" s="5">
        <v>600725</v>
      </c>
      <c r="B450" s="5" t="s">
        <v>475</v>
      </c>
      <c r="C450" s="5" t="s">
        <v>471</v>
      </c>
      <c r="D450" s="5" t="s">
        <v>20</v>
      </c>
      <c r="E450" s="5" t="s">
        <v>695</v>
      </c>
      <c r="F450" s="5" t="s">
        <v>699</v>
      </c>
    </row>
    <row r="451" spans="1:6" x14ac:dyDescent="0.2">
      <c r="A451" s="5">
        <v>600558</v>
      </c>
      <c r="B451" s="5" t="s">
        <v>480</v>
      </c>
      <c r="C451" s="5" t="s">
        <v>471</v>
      </c>
      <c r="D451" s="5" t="s">
        <v>20</v>
      </c>
      <c r="E451" s="5" t="s">
        <v>695</v>
      </c>
      <c r="F451" s="5" t="s">
        <v>699</v>
      </c>
    </row>
    <row r="452" spans="1:6" x14ac:dyDescent="0.2">
      <c r="A452" s="5">
        <v>600798</v>
      </c>
      <c r="B452" s="5" t="s">
        <v>478</v>
      </c>
      <c r="C452" s="5" t="s">
        <v>471</v>
      </c>
      <c r="D452" s="5" t="s">
        <v>20</v>
      </c>
      <c r="E452" s="5" t="s">
        <v>695</v>
      </c>
      <c r="F452" s="5" t="s">
        <v>699</v>
      </c>
    </row>
    <row r="453" spans="1:6" x14ac:dyDescent="0.2">
      <c r="A453" s="5">
        <v>600723</v>
      </c>
      <c r="B453" s="5" t="s">
        <v>561</v>
      </c>
      <c r="C453" s="5" t="s">
        <v>751</v>
      </c>
      <c r="D453" s="5" t="s">
        <v>20</v>
      </c>
      <c r="E453" s="5" t="s">
        <v>695</v>
      </c>
      <c r="F453" s="5" t="s">
        <v>699</v>
      </c>
    </row>
    <row r="454" spans="1:6" x14ac:dyDescent="0.2">
      <c r="A454" s="5">
        <v>600609</v>
      </c>
      <c r="B454" s="5" t="s">
        <v>476</v>
      </c>
      <c r="C454" s="5" t="s">
        <v>471</v>
      </c>
      <c r="D454" s="5" t="s">
        <v>20</v>
      </c>
      <c r="E454" s="5" t="s">
        <v>695</v>
      </c>
      <c r="F454" s="5" t="s">
        <v>699</v>
      </c>
    </row>
    <row r="455" spans="1:6" x14ac:dyDescent="0.2">
      <c r="A455" s="5">
        <v>600604</v>
      </c>
      <c r="B455" s="5" t="s">
        <v>566</v>
      </c>
      <c r="C455" s="5" t="s">
        <v>751</v>
      </c>
      <c r="D455" s="5" t="s">
        <v>20</v>
      </c>
      <c r="E455" s="5" t="s">
        <v>695</v>
      </c>
      <c r="F455" s="5" t="s">
        <v>699</v>
      </c>
    </row>
    <row r="456" spans="1:6" x14ac:dyDescent="0.2">
      <c r="A456" s="5">
        <v>600652</v>
      </c>
      <c r="B456" s="5" t="s">
        <v>551</v>
      </c>
      <c r="C456" s="5" t="s">
        <v>751</v>
      </c>
      <c r="D456" s="5" t="s">
        <v>20</v>
      </c>
      <c r="E456" s="5" t="s">
        <v>695</v>
      </c>
      <c r="F456" s="5" t="s">
        <v>699</v>
      </c>
    </row>
    <row r="457" spans="1:6" x14ac:dyDescent="0.2">
      <c r="A457" s="5">
        <v>600661</v>
      </c>
      <c r="B457" s="5" t="s">
        <v>477</v>
      </c>
      <c r="C457" s="5" t="s">
        <v>471</v>
      </c>
      <c r="D457" s="5" t="s">
        <v>20</v>
      </c>
      <c r="E457" s="5" t="s">
        <v>695</v>
      </c>
      <c r="F457" s="5" t="s">
        <v>699</v>
      </c>
    </row>
    <row r="458" spans="1:6" x14ac:dyDescent="0.2">
      <c r="A458" s="5">
        <v>600554</v>
      </c>
      <c r="B458" s="5" t="s">
        <v>467</v>
      </c>
      <c r="C458" s="5" t="s">
        <v>458</v>
      </c>
      <c r="D458" s="5" t="s">
        <v>20</v>
      </c>
      <c r="E458" s="5" t="s">
        <v>695</v>
      </c>
      <c r="F458" s="5" t="s">
        <v>699</v>
      </c>
    </row>
    <row r="459" spans="1:6" x14ac:dyDescent="0.2">
      <c r="A459" s="5">
        <v>600647</v>
      </c>
      <c r="B459" s="5" t="s">
        <v>505</v>
      </c>
      <c r="C459" s="5" t="s">
        <v>492</v>
      </c>
      <c r="D459" s="5" t="s">
        <v>20</v>
      </c>
      <c r="E459" s="5" t="s">
        <v>695</v>
      </c>
      <c r="F459" s="5" t="s">
        <v>699</v>
      </c>
    </row>
    <row r="460" spans="1:6" x14ac:dyDescent="0.2">
      <c r="A460" s="5">
        <v>600742</v>
      </c>
      <c r="B460" s="5" t="s">
        <v>506</v>
      </c>
      <c r="C460" s="5" t="s">
        <v>492</v>
      </c>
      <c r="D460" s="5" t="s">
        <v>20</v>
      </c>
      <c r="E460" s="5" t="s">
        <v>695</v>
      </c>
      <c r="F460" s="5" t="s">
        <v>699</v>
      </c>
    </row>
    <row r="461" spans="1:6" x14ac:dyDescent="0.2">
      <c r="A461" s="5">
        <v>600618</v>
      </c>
      <c r="B461" s="5" t="s">
        <v>511</v>
      </c>
      <c r="C461" s="5" t="s">
        <v>492</v>
      </c>
      <c r="D461" s="5" t="s">
        <v>20</v>
      </c>
      <c r="E461" s="5" t="s">
        <v>695</v>
      </c>
      <c r="F461" s="5" t="s">
        <v>699</v>
      </c>
    </row>
    <row r="462" spans="1:6" x14ac:dyDescent="0.2">
      <c r="A462" s="5">
        <v>600473</v>
      </c>
      <c r="B462" s="5" t="s">
        <v>500</v>
      </c>
      <c r="C462" s="5" t="s">
        <v>492</v>
      </c>
      <c r="D462" s="5" t="s">
        <v>20</v>
      </c>
      <c r="E462" s="5" t="s">
        <v>695</v>
      </c>
      <c r="F462" s="5" t="s">
        <v>699</v>
      </c>
    </row>
    <row r="463" spans="1:6" x14ac:dyDescent="0.2">
      <c r="A463" s="5">
        <v>600603</v>
      </c>
      <c r="B463" s="5" t="s">
        <v>501</v>
      </c>
      <c r="C463" s="5" t="s">
        <v>492</v>
      </c>
      <c r="D463" s="5" t="s">
        <v>20</v>
      </c>
      <c r="E463" s="5" t="s">
        <v>695</v>
      </c>
      <c r="F463" s="5" t="s">
        <v>699</v>
      </c>
    </row>
    <row r="464" spans="1:6" x14ac:dyDescent="0.2">
      <c r="A464" s="5">
        <v>600553</v>
      </c>
      <c r="B464" s="5" t="s">
        <v>493</v>
      </c>
      <c r="C464" s="5" t="s">
        <v>492</v>
      </c>
      <c r="D464" s="5" t="s">
        <v>20</v>
      </c>
      <c r="E464" s="5" t="s">
        <v>695</v>
      </c>
      <c r="F464" s="5" t="s">
        <v>699</v>
      </c>
    </row>
    <row r="465" spans="1:6" x14ac:dyDescent="0.2">
      <c r="A465" s="5">
        <v>600745</v>
      </c>
      <c r="B465" s="5" t="s">
        <v>507</v>
      </c>
      <c r="C465" s="5" t="s">
        <v>492</v>
      </c>
      <c r="D465" s="5" t="s">
        <v>20</v>
      </c>
      <c r="E465" s="5" t="s">
        <v>696</v>
      </c>
      <c r="F465" s="5" t="s">
        <v>699</v>
      </c>
    </row>
    <row r="466" spans="1:6" x14ac:dyDescent="0.2">
      <c r="A466" s="5">
        <v>600524</v>
      </c>
      <c r="B466" s="5" t="s">
        <v>496</v>
      </c>
      <c r="C466" s="5" t="s">
        <v>492</v>
      </c>
      <c r="D466" s="5" t="s">
        <v>20</v>
      </c>
      <c r="E466" s="5" t="s">
        <v>99</v>
      </c>
      <c r="F466" s="5" t="s">
        <v>699</v>
      </c>
    </row>
    <row r="467" spans="1:6" x14ac:dyDescent="0.2">
      <c r="A467" s="5">
        <v>600502</v>
      </c>
      <c r="B467" s="5" t="s">
        <v>512</v>
      </c>
      <c r="C467" s="5" t="s">
        <v>492</v>
      </c>
      <c r="D467" s="5" t="s">
        <v>20</v>
      </c>
      <c r="E467" s="5" t="s">
        <v>695</v>
      </c>
      <c r="F467" s="5" t="s">
        <v>699</v>
      </c>
    </row>
    <row r="468" spans="1:6" x14ac:dyDescent="0.2">
      <c r="A468" s="5">
        <v>600750</v>
      </c>
      <c r="B468" s="5" t="s">
        <v>508</v>
      </c>
      <c r="C468" s="5" t="s">
        <v>492</v>
      </c>
      <c r="D468" s="5" t="s">
        <v>20</v>
      </c>
      <c r="E468" s="5" t="s">
        <v>695</v>
      </c>
      <c r="F468" s="5" t="s">
        <v>699</v>
      </c>
    </row>
    <row r="469" spans="1:6" x14ac:dyDescent="0.2">
      <c r="A469" s="5">
        <v>600657</v>
      </c>
      <c r="B469" s="5" t="s">
        <v>495</v>
      </c>
      <c r="C469" s="5" t="s">
        <v>492</v>
      </c>
      <c r="D469" s="5" t="s">
        <v>20</v>
      </c>
      <c r="E469" s="5" t="s">
        <v>695</v>
      </c>
      <c r="F469" s="5" t="s">
        <v>699</v>
      </c>
    </row>
    <row r="470" spans="1:6" x14ac:dyDescent="0.2">
      <c r="A470" s="5">
        <v>600506</v>
      </c>
      <c r="B470" s="5" t="s">
        <v>554</v>
      </c>
      <c r="C470" s="5" t="s">
        <v>751</v>
      </c>
      <c r="D470" s="5" t="s">
        <v>20</v>
      </c>
      <c r="E470" s="5" t="s">
        <v>99</v>
      </c>
      <c r="F470" s="5" t="s">
        <v>699</v>
      </c>
    </row>
    <row r="471" spans="1:6" x14ac:dyDescent="0.2">
      <c r="A471" s="5">
        <v>600658</v>
      </c>
      <c r="B471" s="5" t="s">
        <v>513</v>
      </c>
      <c r="C471" s="5" t="s">
        <v>492</v>
      </c>
      <c r="D471" s="5" t="s">
        <v>20</v>
      </c>
      <c r="E471" s="5" t="s">
        <v>695</v>
      </c>
      <c r="F471" s="5" t="s">
        <v>699</v>
      </c>
    </row>
    <row r="472" spans="1:6" x14ac:dyDescent="0.2">
      <c r="A472" s="5">
        <v>600655</v>
      </c>
      <c r="B472" s="5" t="s">
        <v>565</v>
      </c>
      <c r="C472" s="5" t="s">
        <v>751</v>
      </c>
      <c r="D472" s="5" t="s">
        <v>20</v>
      </c>
      <c r="E472" s="5" t="s">
        <v>695</v>
      </c>
      <c r="F472" s="5" t="s">
        <v>699</v>
      </c>
    </row>
    <row r="473" spans="1:6" x14ac:dyDescent="0.2">
      <c r="A473" s="5">
        <v>600409</v>
      </c>
      <c r="B473" s="5" t="s">
        <v>553</v>
      </c>
      <c r="C473" s="5" t="s">
        <v>751</v>
      </c>
      <c r="D473" s="5" t="s">
        <v>20</v>
      </c>
      <c r="E473" s="5" t="s">
        <v>695</v>
      </c>
      <c r="F473" s="5" t="s">
        <v>699</v>
      </c>
    </row>
    <row r="474" spans="1:6" x14ac:dyDescent="0.2">
      <c r="A474" s="5">
        <v>600625</v>
      </c>
      <c r="B474" s="5" t="s">
        <v>497</v>
      </c>
      <c r="C474" s="5" t="s">
        <v>492</v>
      </c>
      <c r="D474" s="5" t="s">
        <v>20</v>
      </c>
      <c r="E474" s="5" t="s">
        <v>695</v>
      </c>
      <c r="F474" s="5" t="s">
        <v>699</v>
      </c>
    </row>
    <row r="475" spans="1:6" x14ac:dyDescent="0.2">
      <c r="A475" s="5">
        <v>600569</v>
      </c>
      <c r="B475" s="5" t="s">
        <v>498</v>
      </c>
      <c r="C475" s="5" t="s">
        <v>492</v>
      </c>
      <c r="D475" s="5" t="s">
        <v>20</v>
      </c>
      <c r="E475" s="5" t="s">
        <v>695</v>
      </c>
      <c r="F475" s="5" t="s">
        <v>699</v>
      </c>
    </row>
    <row r="476" spans="1:6" x14ac:dyDescent="0.2">
      <c r="A476" s="5">
        <v>600611</v>
      </c>
      <c r="B476" s="5" t="s">
        <v>502</v>
      </c>
      <c r="C476" s="5" t="s">
        <v>492</v>
      </c>
      <c r="D476" s="5" t="s">
        <v>20</v>
      </c>
      <c r="E476" s="5" t="s">
        <v>695</v>
      </c>
      <c r="F476" s="5" t="s">
        <v>699</v>
      </c>
    </row>
    <row r="477" spans="1:6" x14ac:dyDescent="0.2">
      <c r="A477" s="5">
        <v>600787</v>
      </c>
      <c r="B477" s="5" t="s">
        <v>525</v>
      </c>
      <c r="C477" s="5" t="s">
        <v>619</v>
      </c>
      <c r="D477" s="5" t="s">
        <v>20</v>
      </c>
      <c r="E477" s="5" t="s">
        <v>696</v>
      </c>
      <c r="F477" s="5" t="s">
        <v>699</v>
      </c>
    </row>
    <row r="478" spans="1:6" x14ac:dyDescent="0.2">
      <c r="A478" s="5">
        <v>600788</v>
      </c>
      <c r="B478" s="5" t="s">
        <v>526</v>
      </c>
      <c r="C478" s="5" t="s">
        <v>619</v>
      </c>
      <c r="D478" s="5" t="s">
        <v>20</v>
      </c>
      <c r="E478" s="5" t="s">
        <v>695</v>
      </c>
      <c r="F478" s="5" t="s">
        <v>699</v>
      </c>
    </row>
    <row r="479" spans="1:6" x14ac:dyDescent="0.2">
      <c r="A479" s="5">
        <v>600518</v>
      </c>
      <c r="B479" s="5" t="s">
        <v>514</v>
      </c>
      <c r="C479" s="5" t="s">
        <v>619</v>
      </c>
      <c r="D479" s="5" t="s">
        <v>20</v>
      </c>
      <c r="E479" s="5" t="s">
        <v>695</v>
      </c>
      <c r="F479" s="5" t="s">
        <v>699</v>
      </c>
    </row>
    <row r="480" spans="1:6" x14ac:dyDescent="0.2">
      <c r="A480" s="5">
        <v>600602</v>
      </c>
      <c r="B480" s="5" t="s">
        <v>515</v>
      </c>
      <c r="C480" s="5" t="s">
        <v>619</v>
      </c>
      <c r="D480" s="5" t="s">
        <v>20</v>
      </c>
      <c r="E480" s="5" t="s">
        <v>695</v>
      </c>
      <c r="F480" s="5" t="s">
        <v>699</v>
      </c>
    </row>
    <row r="481" spans="1:6" x14ac:dyDescent="0.2">
      <c r="A481" s="5">
        <v>600651</v>
      </c>
      <c r="B481" s="5" t="s">
        <v>523</v>
      </c>
      <c r="C481" s="5" t="s">
        <v>619</v>
      </c>
      <c r="D481" s="5" t="s">
        <v>20</v>
      </c>
      <c r="E481" s="5" t="s">
        <v>695</v>
      </c>
      <c r="F481" s="5" t="s">
        <v>699</v>
      </c>
    </row>
    <row r="482" spans="1:6" x14ac:dyDescent="0.2">
      <c r="A482" s="5">
        <v>600734</v>
      </c>
      <c r="B482" s="5" t="s">
        <v>524</v>
      </c>
      <c r="C482" s="5" t="s">
        <v>619</v>
      </c>
      <c r="D482" s="5" t="s">
        <v>20</v>
      </c>
      <c r="E482" s="5" t="s">
        <v>695</v>
      </c>
      <c r="F482" s="5" t="s">
        <v>699</v>
      </c>
    </row>
    <row r="483" spans="1:6" x14ac:dyDescent="0.2">
      <c r="A483" s="5">
        <v>600663</v>
      </c>
      <c r="B483" s="5" t="s">
        <v>521</v>
      </c>
      <c r="C483" s="5" t="s">
        <v>619</v>
      </c>
      <c r="D483" s="5" t="s">
        <v>20</v>
      </c>
      <c r="E483" s="5" t="s">
        <v>695</v>
      </c>
      <c r="F483" s="5" t="s">
        <v>699</v>
      </c>
    </row>
    <row r="484" spans="1:6" x14ac:dyDescent="0.2">
      <c r="A484" s="5">
        <v>600728</v>
      </c>
      <c r="B484" s="5" t="s">
        <v>517</v>
      </c>
      <c r="C484" s="5" t="s">
        <v>619</v>
      </c>
      <c r="D484" s="5" t="s">
        <v>20</v>
      </c>
      <c r="E484" s="5" t="s">
        <v>695</v>
      </c>
      <c r="F484" s="5" t="s">
        <v>699</v>
      </c>
    </row>
    <row r="485" spans="1:6" x14ac:dyDescent="0.2">
      <c r="A485" s="5">
        <v>600608</v>
      </c>
      <c r="B485" s="5" t="s">
        <v>522</v>
      </c>
      <c r="C485" s="5" t="s">
        <v>619</v>
      </c>
      <c r="D485" s="5" t="s">
        <v>20</v>
      </c>
      <c r="E485" s="5" t="s">
        <v>695</v>
      </c>
      <c r="F485" s="5" t="s">
        <v>699</v>
      </c>
    </row>
    <row r="486" spans="1:6" x14ac:dyDescent="0.2">
      <c r="A486" s="5">
        <v>600453</v>
      </c>
      <c r="B486" s="5" t="s">
        <v>528</v>
      </c>
      <c r="C486" s="5" t="s">
        <v>619</v>
      </c>
      <c r="D486" s="5" t="s">
        <v>20</v>
      </c>
      <c r="E486" s="5" t="s">
        <v>695</v>
      </c>
      <c r="F486" s="5" t="s">
        <v>699</v>
      </c>
    </row>
    <row r="487" spans="1:6" x14ac:dyDescent="0.2">
      <c r="A487" s="5">
        <v>600797</v>
      </c>
      <c r="B487" s="5" t="s">
        <v>527</v>
      </c>
      <c r="C487" s="5" t="s">
        <v>619</v>
      </c>
      <c r="D487" s="5" t="s">
        <v>20</v>
      </c>
      <c r="E487" s="5" t="s">
        <v>695</v>
      </c>
      <c r="F487" s="5" t="s">
        <v>699</v>
      </c>
    </row>
    <row r="488" spans="1:6" x14ac:dyDescent="0.2">
      <c r="A488" s="5">
        <v>600528</v>
      </c>
      <c r="B488" s="5" t="s">
        <v>520</v>
      </c>
      <c r="C488" s="5" t="s">
        <v>619</v>
      </c>
      <c r="D488" s="5" t="s">
        <v>20</v>
      </c>
      <c r="E488" s="5" t="s">
        <v>695</v>
      </c>
      <c r="F488" s="5" t="s">
        <v>699</v>
      </c>
    </row>
    <row r="489" spans="1:6" x14ac:dyDescent="0.2">
      <c r="A489" s="5">
        <v>600455</v>
      </c>
      <c r="B489" s="5" t="s">
        <v>518</v>
      </c>
      <c r="C489" s="5" t="s">
        <v>619</v>
      </c>
      <c r="D489" s="5" t="s">
        <v>20</v>
      </c>
      <c r="E489" s="5" t="s">
        <v>696</v>
      </c>
      <c r="F489" s="5" t="s">
        <v>699</v>
      </c>
    </row>
    <row r="490" spans="1:6" x14ac:dyDescent="0.2">
      <c r="A490" s="5">
        <v>600258</v>
      </c>
      <c r="B490" s="5" t="s">
        <v>510</v>
      </c>
      <c r="C490" s="5" t="s">
        <v>529</v>
      </c>
      <c r="D490" s="5" t="s">
        <v>20</v>
      </c>
      <c r="E490" s="5" t="s">
        <v>695</v>
      </c>
      <c r="F490" s="5" t="s">
        <v>699</v>
      </c>
    </row>
    <row r="491" spans="1:6" x14ac:dyDescent="0.2">
      <c r="A491" s="5">
        <v>600147</v>
      </c>
      <c r="B491" s="5" t="s">
        <v>541</v>
      </c>
      <c r="C491" s="5" t="s">
        <v>529</v>
      </c>
      <c r="D491" s="5" t="s">
        <v>20</v>
      </c>
      <c r="E491" s="5" t="s">
        <v>695</v>
      </c>
      <c r="F491" s="5" t="s">
        <v>699</v>
      </c>
    </row>
    <row r="492" spans="1:6" x14ac:dyDescent="0.2">
      <c r="A492" s="5">
        <v>600484</v>
      </c>
      <c r="B492" s="5" t="s">
        <v>545</v>
      </c>
      <c r="C492" s="5" t="s">
        <v>529</v>
      </c>
      <c r="D492" s="5" t="s">
        <v>20</v>
      </c>
      <c r="E492" s="5" t="s">
        <v>695</v>
      </c>
      <c r="F492" s="5" t="s">
        <v>699</v>
      </c>
    </row>
    <row r="493" spans="1:6" x14ac:dyDescent="0.2">
      <c r="A493" s="5">
        <v>600396</v>
      </c>
      <c r="B493" s="5" t="s">
        <v>536</v>
      </c>
      <c r="C493" s="5" t="s">
        <v>529</v>
      </c>
      <c r="D493" s="5" t="s">
        <v>20</v>
      </c>
      <c r="E493" s="5" t="s">
        <v>695</v>
      </c>
      <c r="F493" s="5" t="s">
        <v>699</v>
      </c>
    </row>
    <row r="494" spans="1:6" x14ac:dyDescent="0.2">
      <c r="A494" s="5">
        <v>600133</v>
      </c>
      <c r="B494" s="5" t="s">
        <v>537</v>
      </c>
      <c r="C494" s="5" t="s">
        <v>529</v>
      </c>
      <c r="D494" s="5" t="s">
        <v>20</v>
      </c>
      <c r="E494" s="5" t="s">
        <v>99</v>
      </c>
      <c r="F494" s="5" t="s">
        <v>699</v>
      </c>
    </row>
    <row r="495" spans="1:6" x14ac:dyDescent="0.2">
      <c r="A495" s="5">
        <v>600631</v>
      </c>
      <c r="B495" s="5" t="s">
        <v>530</v>
      </c>
      <c r="C495" s="5" t="s">
        <v>529</v>
      </c>
      <c r="D495" s="5" t="s">
        <v>20</v>
      </c>
      <c r="E495" s="5" t="s">
        <v>695</v>
      </c>
      <c r="F495" s="5" t="s">
        <v>699</v>
      </c>
    </row>
    <row r="496" spans="1:6" x14ac:dyDescent="0.2">
      <c r="A496" s="5">
        <v>600454</v>
      </c>
      <c r="B496" s="5" t="s">
        <v>85</v>
      </c>
      <c r="C496" s="5" t="s">
        <v>548</v>
      </c>
      <c r="D496" s="5" t="s">
        <v>20</v>
      </c>
      <c r="E496" s="5" t="s">
        <v>99</v>
      </c>
      <c r="F496" s="5" t="s">
        <v>699</v>
      </c>
    </row>
    <row r="497" spans="1:6" x14ac:dyDescent="0.2">
      <c r="A497" s="5">
        <v>600729</v>
      </c>
      <c r="B497" s="5" t="s">
        <v>531</v>
      </c>
      <c r="C497" s="5" t="s">
        <v>529</v>
      </c>
      <c r="D497" s="5" t="s">
        <v>20</v>
      </c>
      <c r="E497" s="5" t="s">
        <v>695</v>
      </c>
      <c r="F497" s="5" t="s">
        <v>699</v>
      </c>
    </row>
    <row r="498" spans="1:6" x14ac:dyDescent="0.2">
      <c r="A498" s="5">
        <v>600395</v>
      </c>
      <c r="B498" s="5" t="s">
        <v>532</v>
      </c>
      <c r="C498" s="5" t="s">
        <v>529</v>
      </c>
      <c r="D498" s="5" t="s">
        <v>20</v>
      </c>
      <c r="E498" s="5" t="s">
        <v>695</v>
      </c>
      <c r="F498" s="5" t="s">
        <v>699</v>
      </c>
    </row>
    <row r="499" spans="1:6" x14ac:dyDescent="0.2">
      <c r="A499" s="5">
        <v>600158</v>
      </c>
      <c r="B499" s="5" t="s">
        <v>538</v>
      </c>
      <c r="C499" s="5" t="s">
        <v>529</v>
      </c>
      <c r="D499" s="5" t="s">
        <v>20</v>
      </c>
      <c r="E499" s="5" t="s">
        <v>695</v>
      </c>
      <c r="F499" s="5" t="s">
        <v>699</v>
      </c>
    </row>
    <row r="500" spans="1:6" x14ac:dyDescent="0.2">
      <c r="A500" s="5">
        <v>600730</v>
      </c>
      <c r="B500" s="5" t="s">
        <v>562</v>
      </c>
      <c r="C500" s="5" t="s">
        <v>751</v>
      </c>
      <c r="D500" s="5" t="s">
        <v>20</v>
      </c>
      <c r="E500" s="5" t="s">
        <v>695</v>
      </c>
      <c r="F500" s="5" t="s">
        <v>699</v>
      </c>
    </row>
    <row r="501" spans="1:6" x14ac:dyDescent="0.2">
      <c r="A501" s="5">
        <v>600573</v>
      </c>
      <c r="B501" s="5" t="s">
        <v>564</v>
      </c>
      <c r="C501" s="5" t="s">
        <v>548</v>
      </c>
      <c r="D501" s="5" t="s">
        <v>20</v>
      </c>
      <c r="E501" s="5" t="s">
        <v>695</v>
      </c>
      <c r="F501" s="5" t="s">
        <v>699</v>
      </c>
    </row>
    <row r="502" spans="1:6" x14ac:dyDescent="0.2">
      <c r="A502" s="5">
        <v>600261</v>
      </c>
      <c r="B502" s="5" t="s">
        <v>543</v>
      </c>
      <c r="C502" s="5" t="s">
        <v>529</v>
      </c>
      <c r="D502" s="5" t="s">
        <v>20</v>
      </c>
      <c r="E502" s="5" t="s">
        <v>695</v>
      </c>
      <c r="F502" s="5" t="s">
        <v>699</v>
      </c>
    </row>
    <row r="503" spans="1:6" x14ac:dyDescent="0.2">
      <c r="A503" s="5">
        <v>600408</v>
      </c>
      <c r="B503" s="5" t="s">
        <v>535</v>
      </c>
      <c r="C503" s="5" t="s">
        <v>529</v>
      </c>
      <c r="D503" s="5" t="s">
        <v>20</v>
      </c>
      <c r="E503" s="5" t="s">
        <v>695</v>
      </c>
      <c r="F503" s="5" t="s">
        <v>699</v>
      </c>
    </row>
    <row r="504" spans="1:6" x14ac:dyDescent="0.2">
      <c r="A504" s="5">
        <v>600800</v>
      </c>
      <c r="B504" s="5" t="s">
        <v>547</v>
      </c>
      <c r="C504" s="5" t="s">
        <v>529</v>
      </c>
      <c r="D504" s="5" t="s">
        <v>20</v>
      </c>
      <c r="E504" s="5" t="s">
        <v>99</v>
      </c>
      <c r="F504" s="5" t="s">
        <v>699</v>
      </c>
    </row>
    <row r="505" spans="1:6" x14ac:dyDescent="0.2">
      <c r="A505" s="5">
        <v>600522</v>
      </c>
      <c r="B505" s="5" t="s">
        <v>534</v>
      </c>
      <c r="C505" s="5" t="s">
        <v>529</v>
      </c>
      <c r="D505" s="5" t="s">
        <v>20</v>
      </c>
      <c r="E505" s="5" t="s">
        <v>695</v>
      </c>
      <c r="F505" s="5" t="s">
        <v>699</v>
      </c>
    </row>
    <row r="506" spans="1:6" x14ac:dyDescent="0.2">
      <c r="A506" s="5">
        <v>600288</v>
      </c>
      <c r="B506" s="5" t="s">
        <v>542</v>
      </c>
      <c r="C506" s="5" t="s">
        <v>529</v>
      </c>
      <c r="D506" s="5" t="s">
        <v>20</v>
      </c>
      <c r="E506" s="5" t="s">
        <v>695</v>
      </c>
      <c r="F506" s="5" t="s">
        <v>699</v>
      </c>
    </row>
    <row r="507" spans="1:6" x14ac:dyDescent="0.2">
      <c r="A507" s="5">
        <v>600495</v>
      </c>
      <c r="B507" s="5" t="s">
        <v>544</v>
      </c>
      <c r="C507" s="5" t="s">
        <v>529</v>
      </c>
      <c r="D507" s="5" t="s">
        <v>20</v>
      </c>
      <c r="E507" s="5" t="s">
        <v>695</v>
      </c>
      <c r="F507" s="5" t="s">
        <v>699</v>
      </c>
    </row>
    <row r="508" spans="1:6" x14ac:dyDescent="0.2">
      <c r="A508" s="5">
        <v>600632</v>
      </c>
      <c r="B508" s="5" t="s">
        <v>549</v>
      </c>
      <c r="C508" s="5" t="s">
        <v>751</v>
      </c>
      <c r="D508" s="5" t="s">
        <v>20</v>
      </c>
      <c r="E508" s="5" t="s">
        <v>695</v>
      </c>
      <c r="F508" s="5" t="s">
        <v>699</v>
      </c>
    </row>
    <row r="509" spans="1:6" x14ac:dyDescent="0.2">
      <c r="A509" s="5">
        <v>600399</v>
      </c>
      <c r="B509" s="5" t="s">
        <v>557</v>
      </c>
      <c r="C509" s="5" t="s">
        <v>751</v>
      </c>
      <c r="D509" s="5" t="s">
        <v>20</v>
      </c>
      <c r="E509" s="5" t="s">
        <v>695</v>
      </c>
      <c r="F509" s="5" t="s">
        <v>699</v>
      </c>
    </row>
    <row r="510" spans="1:6" x14ac:dyDescent="0.2">
      <c r="A510" s="5">
        <v>600351</v>
      </c>
      <c r="B510" s="5" t="s">
        <v>546</v>
      </c>
      <c r="C510" s="5" t="s">
        <v>529</v>
      </c>
      <c r="D510" s="5" t="s">
        <v>20</v>
      </c>
      <c r="E510" s="5" t="s">
        <v>695</v>
      </c>
      <c r="F510" s="5" t="s">
        <v>699</v>
      </c>
    </row>
    <row r="511" spans="1:6" x14ac:dyDescent="0.2">
      <c r="A511" s="5">
        <v>600464</v>
      </c>
      <c r="B511" s="5" t="s">
        <v>540</v>
      </c>
      <c r="C511" s="5" t="s">
        <v>529</v>
      </c>
      <c r="D511" s="5" t="s">
        <v>20</v>
      </c>
      <c r="E511" s="5" t="s">
        <v>695</v>
      </c>
      <c r="F511" s="5" t="s">
        <v>699</v>
      </c>
    </row>
    <row r="512" spans="1:6" x14ac:dyDescent="0.2">
      <c r="A512" s="5">
        <v>600411</v>
      </c>
      <c r="B512" s="5" t="s">
        <v>760</v>
      </c>
      <c r="C512" s="5" t="s">
        <v>548</v>
      </c>
      <c r="D512" s="5" t="s">
        <v>20</v>
      </c>
      <c r="E512" s="5" t="s">
        <v>695</v>
      </c>
      <c r="F512" s="5" t="s">
        <v>699</v>
      </c>
    </row>
    <row r="513" spans="1:6" x14ac:dyDescent="0.2">
      <c r="A513" s="5">
        <v>600436</v>
      </c>
      <c r="B513" s="5" t="s">
        <v>533</v>
      </c>
      <c r="C513" s="5" t="s">
        <v>529</v>
      </c>
      <c r="D513" s="5" t="s">
        <v>20</v>
      </c>
      <c r="E513" s="5" t="s">
        <v>695</v>
      </c>
      <c r="F513" s="5" t="s">
        <v>699</v>
      </c>
    </row>
    <row r="514" spans="1:6" x14ac:dyDescent="0.2">
      <c r="A514" s="5">
        <v>600116</v>
      </c>
      <c r="B514" s="5" t="s">
        <v>539</v>
      </c>
      <c r="C514" s="5" t="s">
        <v>529</v>
      </c>
      <c r="D514" s="5" t="s">
        <v>20</v>
      </c>
      <c r="E514" s="5" t="s">
        <v>695</v>
      </c>
      <c r="F514" s="5" t="s">
        <v>699</v>
      </c>
    </row>
    <row r="515" spans="1:6" x14ac:dyDescent="0.2">
      <c r="A515" s="5">
        <v>600678</v>
      </c>
      <c r="B515" s="5" t="s">
        <v>571</v>
      </c>
      <c r="C515" s="5" t="s">
        <v>614</v>
      </c>
      <c r="D515" s="5" t="s">
        <v>20</v>
      </c>
      <c r="E515" s="5" t="s">
        <v>695</v>
      </c>
      <c r="F515" s="5" t="s">
        <v>699</v>
      </c>
    </row>
    <row r="516" spans="1:6" x14ac:dyDescent="0.2">
      <c r="A516" s="5">
        <v>600817</v>
      </c>
      <c r="B516" s="5" t="s">
        <v>761</v>
      </c>
      <c r="C516" s="5" t="s">
        <v>614</v>
      </c>
      <c r="D516" s="5" t="s">
        <v>20</v>
      </c>
      <c r="E516" s="5" t="s">
        <v>695</v>
      </c>
      <c r="F516" s="5" t="s">
        <v>699</v>
      </c>
    </row>
    <row r="517" spans="1:6" x14ac:dyDescent="0.2">
      <c r="A517" s="5">
        <v>600807</v>
      </c>
      <c r="B517" s="5" t="s">
        <v>578</v>
      </c>
      <c r="C517" s="5" t="s">
        <v>614</v>
      </c>
      <c r="D517" s="5" t="s">
        <v>20</v>
      </c>
      <c r="E517" s="5" t="s">
        <v>695</v>
      </c>
      <c r="F517" s="5" t="s">
        <v>699</v>
      </c>
    </row>
    <row r="518" spans="1:6" x14ac:dyDescent="0.2">
      <c r="A518" s="5">
        <v>600806</v>
      </c>
      <c r="B518" s="5" t="s">
        <v>567</v>
      </c>
      <c r="C518" s="5" t="s">
        <v>614</v>
      </c>
      <c r="D518" s="5" t="s">
        <v>20</v>
      </c>
      <c r="E518" s="5" t="s">
        <v>695</v>
      </c>
      <c r="F518" s="5" t="s">
        <v>699</v>
      </c>
    </row>
    <row r="519" spans="1:6" x14ac:dyDescent="0.2">
      <c r="A519" s="5">
        <v>600452</v>
      </c>
      <c r="B519" s="5" t="s">
        <v>762</v>
      </c>
      <c r="C519" s="5" t="s">
        <v>614</v>
      </c>
      <c r="D519" s="5" t="s">
        <v>20</v>
      </c>
      <c r="E519" s="5" t="s">
        <v>695</v>
      </c>
      <c r="F519" s="5" t="s">
        <v>699</v>
      </c>
    </row>
    <row r="520" spans="1:6" x14ac:dyDescent="0.2">
      <c r="A520" s="5">
        <v>600766</v>
      </c>
      <c r="B520" s="5" t="s">
        <v>574</v>
      </c>
      <c r="C520" s="5" t="s">
        <v>614</v>
      </c>
      <c r="D520" s="5" t="s">
        <v>20</v>
      </c>
      <c r="E520" s="5" t="s">
        <v>695</v>
      </c>
      <c r="F520" s="5" t="s">
        <v>699</v>
      </c>
    </row>
    <row r="521" spans="1:6" x14ac:dyDescent="0.2">
      <c r="A521" s="5">
        <v>600775</v>
      </c>
      <c r="B521" s="5" t="s">
        <v>579</v>
      </c>
      <c r="C521" s="5" t="s">
        <v>614</v>
      </c>
      <c r="D521" s="5" t="s">
        <v>20</v>
      </c>
      <c r="E521" s="5" t="s">
        <v>695</v>
      </c>
      <c r="F521" s="5" t="s">
        <v>699</v>
      </c>
    </row>
    <row r="522" spans="1:6" x14ac:dyDescent="0.2">
      <c r="A522" s="5">
        <v>600774</v>
      </c>
      <c r="B522" s="5" t="s">
        <v>577</v>
      </c>
      <c r="C522" s="5" t="s">
        <v>614</v>
      </c>
      <c r="D522" s="5" t="s">
        <v>20</v>
      </c>
      <c r="E522" s="5" t="s">
        <v>695</v>
      </c>
      <c r="F522" s="5" t="s">
        <v>699</v>
      </c>
    </row>
    <row r="523" spans="1:6" x14ac:dyDescent="0.2">
      <c r="A523" s="5">
        <v>600757</v>
      </c>
      <c r="B523" s="5" t="s">
        <v>572</v>
      </c>
      <c r="C523" s="5" t="s">
        <v>614</v>
      </c>
      <c r="D523" s="5" t="s">
        <v>20</v>
      </c>
      <c r="E523" s="5" t="s">
        <v>695</v>
      </c>
      <c r="F523" s="5" t="s">
        <v>699</v>
      </c>
    </row>
    <row r="524" spans="1:6" x14ac:dyDescent="0.2">
      <c r="A524" s="5">
        <v>600768</v>
      </c>
      <c r="B524" s="5" t="s">
        <v>575</v>
      </c>
      <c r="C524" s="5" t="s">
        <v>614</v>
      </c>
      <c r="D524" s="5" t="s">
        <v>20</v>
      </c>
      <c r="E524" s="5" t="s">
        <v>695</v>
      </c>
      <c r="F524" s="5" t="s">
        <v>699</v>
      </c>
    </row>
    <row r="525" spans="1:6" x14ac:dyDescent="0.2">
      <c r="A525" s="5">
        <v>600770</v>
      </c>
      <c r="B525" s="5" t="s">
        <v>576</v>
      </c>
      <c r="C525" s="5" t="s">
        <v>614</v>
      </c>
      <c r="D525" s="5" t="s">
        <v>20</v>
      </c>
      <c r="E525" s="5" t="s">
        <v>695</v>
      </c>
      <c r="F525" s="5" t="s">
        <v>699</v>
      </c>
    </row>
    <row r="526" spans="1:6" x14ac:dyDescent="0.2">
      <c r="A526" s="5">
        <v>600680</v>
      </c>
      <c r="B526" s="5" t="s">
        <v>570</v>
      </c>
      <c r="C526" s="5" t="s">
        <v>614</v>
      </c>
      <c r="D526" s="5" t="s">
        <v>20</v>
      </c>
      <c r="E526" s="5" t="s">
        <v>695</v>
      </c>
      <c r="F526" s="5" t="s">
        <v>699</v>
      </c>
    </row>
    <row r="527" spans="1:6" x14ac:dyDescent="0.2">
      <c r="A527" s="5">
        <v>600819</v>
      </c>
      <c r="B527" s="5" t="s">
        <v>568</v>
      </c>
      <c r="C527" s="5" t="s">
        <v>614</v>
      </c>
      <c r="D527" s="5" t="s">
        <v>20</v>
      </c>
      <c r="E527" s="5" t="s">
        <v>695</v>
      </c>
      <c r="F527" s="5" t="s">
        <v>699</v>
      </c>
    </row>
    <row r="528" spans="1:6" x14ac:dyDescent="0.2">
      <c r="A528" s="5">
        <v>600765</v>
      </c>
      <c r="B528" s="5" t="s">
        <v>573</v>
      </c>
      <c r="C528" s="5" t="s">
        <v>614</v>
      </c>
      <c r="D528" s="5" t="s">
        <v>20</v>
      </c>
      <c r="E528" s="5" t="s">
        <v>695</v>
      </c>
      <c r="F528" s="5" t="s">
        <v>699</v>
      </c>
    </row>
    <row r="529" spans="1:6" x14ac:dyDescent="0.2">
      <c r="A529" s="5">
        <v>600344</v>
      </c>
      <c r="B529" s="5" t="s">
        <v>580</v>
      </c>
      <c r="C529" s="5" t="s">
        <v>694</v>
      </c>
      <c r="D529" s="5" t="s">
        <v>20</v>
      </c>
      <c r="E529" s="5" t="s">
        <v>695</v>
      </c>
      <c r="F529" s="5" t="s">
        <v>699</v>
      </c>
    </row>
    <row r="530" spans="1:6" x14ac:dyDescent="0.2">
      <c r="A530" s="5">
        <v>600818</v>
      </c>
      <c r="B530" s="5" t="s">
        <v>763</v>
      </c>
      <c r="C530" s="5" t="s">
        <v>694</v>
      </c>
      <c r="D530" s="5" t="s">
        <v>20</v>
      </c>
      <c r="E530" s="5" t="s">
        <v>696</v>
      </c>
      <c r="F530" s="5" t="s">
        <v>699</v>
      </c>
    </row>
    <row r="531" spans="1:6" x14ac:dyDescent="0.2">
      <c r="A531" s="5">
        <v>600668</v>
      </c>
      <c r="B531" s="5" t="s">
        <v>569</v>
      </c>
      <c r="C531" s="5" t="s">
        <v>694</v>
      </c>
      <c r="D531" s="5" t="s">
        <v>20</v>
      </c>
      <c r="E531" s="5" t="s">
        <v>99</v>
      </c>
      <c r="F531" s="5" t="s">
        <v>699</v>
      </c>
    </row>
    <row r="532" spans="1:6" x14ac:dyDescent="0.2">
      <c r="A532" s="5">
        <v>600535</v>
      </c>
      <c r="B532" s="5" t="s">
        <v>594</v>
      </c>
      <c r="C532" s="5" t="s">
        <v>694</v>
      </c>
      <c r="D532" s="5" t="s">
        <v>20</v>
      </c>
      <c r="E532" s="5" t="s">
        <v>99</v>
      </c>
      <c r="F532" s="5" t="s">
        <v>699</v>
      </c>
    </row>
    <row r="533" spans="1:6" x14ac:dyDescent="0.2">
      <c r="A533" s="5">
        <v>600430</v>
      </c>
      <c r="B533" s="5" t="s">
        <v>586</v>
      </c>
      <c r="C533" s="5" t="s">
        <v>694</v>
      </c>
      <c r="D533" s="5" t="s">
        <v>20</v>
      </c>
      <c r="E533" s="5" t="s">
        <v>695</v>
      </c>
      <c r="F533" s="5" t="s">
        <v>699</v>
      </c>
    </row>
    <row r="534" spans="1:6" x14ac:dyDescent="0.2">
      <c r="A534" s="5">
        <v>600808</v>
      </c>
      <c r="B534" s="5" t="s">
        <v>595</v>
      </c>
      <c r="C534" s="5" t="s">
        <v>694</v>
      </c>
      <c r="D534" s="5" t="s">
        <v>20</v>
      </c>
      <c r="E534" s="5" t="s">
        <v>695</v>
      </c>
      <c r="F534" s="5" t="s">
        <v>699</v>
      </c>
    </row>
    <row r="535" spans="1:6" x14ac:dyDescent="0.2">
      <c r="A535" s="5">
        <v>600823</v>
      </c>
      <c r="B535" s="5" t="s">
        <v>599</v>
      </c>
      <c r="C535" s="5" t="s">
        <v>694</v>
      </c>
      <c r="D535" s="5" t="s">
        <v>20</v>
      </c>
      <c r="E535" s="5" t="s">
        <v>695</v>
      </c>
      <c r="F535" s="5" t="s">
        <v>699</v>
      </c>
    </row>
    <row r="536" spans="1:6" x14ac:dyDescent="0.2">
      <c r="A536" s="5">
        <v>600357</v>
      </c>
      <c r="B536" s="5" t="s">
        <v>582</v>
      </c>
      <c r="C536" s="5" t="s">
        <v>694</v>
      </c>
      <c r="D536" s="5" t="s">
        <v>20</v>
      </c>
      <c r="E536" s="5" t="s">
        <v>695</v>
      </c>
      <c r="F536" s="5" t="s">
        <v>699</v>
      </c>
    </row>
    <row r="537" spans="1:6" x14ac:dyDescent="0.2">
      <c r="A537" s="5">
        <v>600637</v>
      </c>
      <c r="B537" s="5" t="s">
        <v>591</v>
      </c>
      <c r="C537" s="5" t="s">
        <v>694</v>
      </c>
      <c r="D537" s="5" t="s">
        <v>20</v>
      </c>
      <c r="E537" s="5" t="s">
        <v>695</v>
      </c>
      <c r="F537" s="5" t="s">
        <v>699</v>
      </c>
    </row>
    <row r="538" spans="1:6" x14ac:dyDescent="0.2">
      <c r="A538" s="5">
        <v>600822</v>
      </c>
      <c r="B538" s="5" t="s">
        <v>598</v>
      </c>
      <c r="C538" s="5" t="s">
        <v>694</v>
      </c>
      <c r="D538" s="5" t="s">
        <v>20</v>
      </c>
      <c r="E538" s="5" t="s">
        <v>695</v>
      </c>
      <c r="F538" s="5" t="s">
        <v>699</v>
      </c>
    </row>
    <row r="539" spans="1:6" x14ac:dyDescent="0.2">
      <c r="A539" s="5">
        <v>600821</v>
      </c>
      <c r="B539" s="5" t="s">
        <v>597</v>
      </c>
      <c r="C539" s="5" t="s">
        <v>694</v>
      </c>
      <c r="D539" s="5" t="s">
        <v>20</v>
      </c>
      <c r="E539" s="5" t="s">
        <v>695</v>
      </c>
      <c r="F539" s="5" t="s">
        <v>699</v>
      </c>
    </row>
    <row r="540" spans="1:6" x14ac:dyDescent="0.2">
      <c r="A540" s="5">
        <v>600356</v>
      </c>
      <c r="B540" s="5" t="s">
        <v>581</v>
      </c>
      <c r="C540" s="5" t="s">
        <v>694</v>
      </c>
      <c r="D540" s="5" t="s">
        <v>20</v>
      </c>
      <c r="E540" s="5" t="s">
        <v>695</v>
      </c>
      <c r="F540" s="5" t="s">
        <v>699</v>
      </c>
    </row>
    <row r="541" spans="1:6" x14ac:dyDescent="0.2">
      <c r="A541" s="5">
        <v>600533</v>
      </c>
      <c r="B541" s="5" t="s">
        <v>593</v>
      </c>
      <c r="C541" s="5" t="s">
        <v>694</v>
      </c>
      <c r="D541" s="5" t="s">
        <v>20</v>
      </c>
      <c r="E541" s="5" t="s">
        <v>695</v>
      </c>
      <c r="F541" s="5" t="s">
        <v>699</v>
      </c>
    </row>
    <row r="542" spans="1:6" x14ac:dyDescent="0.2">
      <c r="A542" s="5">
        <v>600635</v>
      </c>
      <c r="B542" s="5" t="s">
        <v>590</v>
      </c>
      <c r="C542" s="5" t="s">
        <v>694</v>
      </c>
      <c r="D542" s="5" t="s">
        <v>20</v>
      </c>
      <c r="E542" s="5" t="s">
        <v>695</v>
      </c>
      <c r="F542" s="5" t="s">
        <v>699</v>
      </c>
    </row>
    <row r="543" spans="1:6" x14ac:dyDescent="0.2">
      <c r="A543" s="5">
        <v>600532</v>
      </c>
      <c r="B543" s="5" t="s">
        <v>589</v>
      </c>
      <c r="C543" s="5" t="s">
        <v>694</v>
      </c>
      <c r="D543" s="5" t="s">
        <v>20</v>
      </c>
      <c r="E543" s="5" t="s">
        <v>695</v>
      </c>
      <c r="F543" s="5" t="s">
        <v>699</v>
      </c>
    </row>
    <row r="544" spans="1:6" x14ac:dyDescent="0.2">
      <c r="A544" s="5">
        <v>600359</v>
      </c>
      <c r="B544" s="5" t="s">
        <v>583</v>
      </c>
      <c r="C544" s="5" t="s">
        <v>694</v>
      </c>
      <c r="D544" s="5" t="s">
        <v>20</v>
      </c>
      <c r="E544" s="5" t="s">
        <v>695</v>
      </c>
      <c r="F544" s="5" t="s">
        <v>699</v>
      </c>
    </row>
    <row r="545" spans="1:6" x14ac:dyDescent="0.2">
      <c r="A545" s="5">
        <v>600531</v>
      </c>
      <c r="B545" s="5" t="s">
        <v>588</v>
      </c>
      <c r="C545" s="5" t="s">
        <v>694</v>
      </c>
      <c r="D545" s="5" t="s">
        <v>20</v>
      </c>
      <c r="E545" s="5" t="s">
        <v>695</v>
      </c>
      <c r="F545" s="5" t="s">
        <v>699</v>
      </c>
    </row>
    <row r="546" spans="1:6" x14ac:dyDescent="0.2">
      <c r="A546" s="5">
        <v>600419</v>
      </c>
      <c r="B546" s="5" t="s">
        <v>585</v>
      </c>
      <c r="C546" s="5" t="s">
        <v>694</v>
      </c>
      <c r="D546" s="5" t="s">
        <v>20</v>
      </c>
      <c r="E546" s="5" t="s">
        <v>695</v>
      </c>
      <c r="F546" s="5" t="s">
        <v>699</v>
      </c>
    </row>
    <row r="547" spans="1:6" x14ac:dyDescent="0.2">
      <c r="A547" s="5">
        <v>600530</v>
      </c>
      <c r="B547" s="5" t="s">
        <v>587</v>
      </c>
      <c r="C547" s="5" t="s">
        <v>694</v>
      </c>
      <c r="D547" s="5" t="s">
        <v>20</v>
      </c>
      <c r="E547" s="5" t="s">
        <v>695</v>
      </c>
      <c r="F547" s="5" t="s">
        <v>699</v>
      </c>
    </row>
    <row r="548" spans="1:6" x14ac:dyDescent="0.2">
      <c r="A548" s="5">
        <v>600633</v>
      </c>
      <c r="B548" s="5" t="s">
        <v>764</v>
      </c>
      <c r="C548" s="5" t="s">
        <v>694</v>
      </c>
      <c r="D548" s="5" t="s">
        <v>20</v>
      </c>
      <c r="E548" s="5" t="s">
        <v>695</v>
      </c>
      <c r="F548" s="5" t="s">
        <v>699</v>
      </c>
    </row>
    <row r="549" spans="1:6" x14ac:dyDescent="0.2">
      <c r="A549" s="5">
        <v>600639</v>
      </c>
      <c r="B549" s="5" t="s">
        <v>592</v>
      </c>
      <c r="C549" s="5" t="s">
        <v>694</v>
      </c>
      <c r="D549" s="5" t="s">
        <v>20</v>
      </c>
      <c r="E549" s="5" t="s">
        <v>695</v>
      </c>
      <c r="F549" s="5" t="s">
        <v>699</v>
      </c>
    </row>
    <row r="550" spans="1:6" x14ac:dyDescent="0.2">
      <c r="A550" s="5">
        <v>600820</v>
      </c>
      <c r="B550" s="5" t="s">
        <v>596</v>
      </c>
      <c r="C550" s="5" t="s">
        <v>694</v>
      </c>
      <c r="D550" s="5" t="s">
        <v>20</v>
      </c>
      <c r="E550" s="5" t="s">
        <v>695</v>
      </c>
      <c r="F550" s="5" t="s">
        <v>699</v>
      </c>
    </row>
    <row r="551" spans="1:6" x14ac:dyDescent="0.2">
      <c r="A551" s="5">
        <v>600360</v>
      </c>
      <c r="B551" s="5" t="s">
        <v>584</v>
      </c>
      <c r="C551" s="5" t="s">
        <v>694</v>
      </c>
      <c r="D551" s="5" t="s">
        <v>20</v>
      </c>
      <c r="E551" s="5" t="s">
        <v>695</v>
      </c>
      <c r="F551" s="5" t="s">
        <v>699</v>
      </c>
    </row>
    <row r="552" spans="1:6" x14ac:dyDescent="0.2">
      <c r="A552" s="5">
        <v>600862</v>
      </c>
      <c r="B552" s="5" t="s">
        <v>765</v>
      </c>
      <c r="C552" s="5" t="s">
        <v>694</v>
      </c>
      <c r="D552" s="5" t="s">
        <v>20</v>
      </c>
      <c r="E552" s="5" t="s">
        <v>695</v>
      </c>
      <c r="F552" s="5" t="s">
        <v>699</v>
      </c>
    </row>
    <row r="553" spans="1:6" x14ac:dyDescent="0.2">
      <c r="A553" s="5">
        <v>600832</v>
      </c>
      <c r="B553" s="5" t="s">
        <v>627</v>
      </c>
      <c r="C553" s="5" t="s">
        <v>694</v>
      </c>
      <c r="D553" s="5" t="s">
        <v>20</v>
      </c>
      <c r="E553" s="5" t="s">
        <v>695</v>
      </c>
      <c r="F553" s="5" t="s">
        <v>699</v>
      </c>
    </row>
    <row r="554" spans="1:6" x14ac:dyDescent="0.2">
      <c r="A554" s="5">
        <v>600849</v>
      </c>
      <c r="B554" s="5" t="s">
        <v>644</v>
      </c>
      <c r="C554" s="5" t="s">
        <v>694</v>
      </c>
      <c r="D554" s="5" t="s">
        <v>20</v>
      </c>
      <c r="E554" s="5" t="s">
        <v>695</v>
      </c>
      <c r="F554" s="5" t="s">
        <v>699</v>
      </c>
    </row>
    <row r="555" spans="1:6" x14ac:dyDescent="0.2">
      <c r="A555" s="5">
        <v>600848</v>
      </c>
      <c r="B555" s="5" t="s">
        <v>643</v>
      </c>
      <c r="C555" s="5" t="s">
        <v>694</v>
      </c>
      <c r="D555" s="5" t="s">
        <v>20</v>
      </c>
      <c r="E555" s="5" t="s">
        <v>695</v>
      </c>
      <c r="F555" s="5" t="s">
        <v>699</v>
      </c>
    </row>
    <row r="556" spans="1:6" x14ac:dyDescent="0.2">
      <c r="A556" s="5">
        <v>600847</v>
      </c>
      <c r="B556" s="5" t="s">
        <v>642</v>
      </c>
      <c r="C556" s="5" t="s">
        <v>694</v>
      </c>
      <c r="D556" s="5" t="s">
        <v>20</v>
      </c>
      <c r="E556" s="5" t="s">
        <v>695</v>
      </c>
      <c r="F556" s="5" t="s">
        <v>699</v>
      </c>
    </row>
    <row r="557" spans="1:6" x14ac:dyDescent="0.2">
      <c r="A557" s="5">
        <v>600861</v>
      </c>
      <c r="B557" s="5" t="s">
        <v>766</v>
      </c>
      <c r="C557" s="5" t="s">
        <v>694</v>
      </c>
      <c r="D557" s="5" t="s">
        <v>20</v>
      </c>
      <c r="E557" s="5" t="s">
        <v>695</v>
      </c>
      <c r="F557" s="5" t="s">
        <v>699</v>
      </c>
    </row>
    <row r="558" spans="1:6" x14ac:dyDescent="0.2">
      <c r="A558" s="5">
        <v>600860</v>
      </c>
      <c r="B558" s="5" t="s">
        <v>767</v>
      </c>
      <c r="C558" s="5" t="s">
        <v>694</v>
      </c>
      <c r="D558" s="5" t="s">
        <v>20</v>
      </c>
      <c r="E558" s="5" t="s">
        <v>695</v>
      </c>
      <c r="F558" s="5" t="s">
        <v>699</v>
      </c>
    </row>
    <row r="559" spans="1:6" x14ac:dyDescent="0.2">
      <c r="A559" s="5">
        <v>600846</v>
      </c>
      <c r="B559" s="5" t="s">
        <v>641</v>
      </c>
      <c r="C559" s="5" t="s">
        <v>694</v>
      </c>
      <c r="D559" s="5" t="s">
        <v>20</v>
      </c>
      <c r="E559" s="5" t="s">
        <v>695</v>
      </c>
      <c r="F559" s="5" t="s">
        <v>699</v>
      </c>
    </row>
    <row r="560" spans="1:6" x14ac:dyDescent="0.2">
      <c r="A560" s="5">
        <v>600859</v>
      </c>
      <c r="B560" s="5" t="s">
        <v>768</v>
      </c>
      <c r="C560" s="5" t="s">
        <v>694</v>
      </c>
      <c r="D560" s="5" t="s">
        <v>20</v>
      </c>
      <c r="E560" s="5" t="s">
        <v>695</v>
      </c>
      <c r="F560" s="5" t="s">
        <v>699</v>
      </c>
    </row>
    <row r="561" spans="1:6" x14ac:dyDescent="0.2">
      <c r="A561" s="5">
        <v>600845</v>
      </c>
      <c r="B561" s="5" t="s">
        <v>640</v>
      </c>
      <c r="C561" s="5" t="s">
        <v>694</v>
      </c>
      <c r="D561" s="5" t="s">
        <v>20</v>
      </c>
      <c r="E561" s="5" t="s">
        <v>695</v>
      </c>
      <c r="F561" s="5" t="s">
        <v>699</v>
      </c>
    </row>
    <row r="562" spans="1:6" x14ac:dyDescent="0.2">
      <c r="A562" s="5">
        <v>600833</v>
      </c>
      <c r="B562" s="5" t="s">
        <v>628</v>
      </c>
      <c r="C562" s="5" t="s">
        <v>694</v>
      </c>
      <c r="D562" s="5" t="s">
        <v>20</v>
      </c>
      <c r="E562" s="5" t="s">
        <v>695</v>
      </c>
      <c r="F562" s="5" t="s">
        <v>699</v>
      </c>
    </row>
    <row r="563" spans="1:6" x14ac:dyDescent="0.2">
      <c r="A563" s="5">
        <v>600844</v>
      </c>
      <c r="B563" s="5" t="s">
        <v>639</v>
      </c>
      <c r="C563" s="5" t="s">
        <v>694</v>
      </c>
      <c r="D563" s="5" t="s">
        <v>20</v>
      </c>
      <c r="E563" s="5" t="s">
        <v>695</v>
      </c>
      <c r="F563" s="5" t="s">
        <v>699</v>
      </c>
    </row>
    <row r="564" spans="1:6" x14ac:dyDescent="0.2">
      <c r="A564" s="5">
        <v>600843</v>
      </c>
      <c r="B564" s="5" t="s">
        <v>638</v>
      </c>
      <c r="C564" s="5" t="s">
        <v>694</v>
      </c>
      <c r="D564" s="5" t="s">
        <v>20</v>
      </c>
      <c r="E564" s="5" t="s">
        <v>695</v>
      </c>
      <c r="F564" s="5" t="s">
        <v>699</v>
      </c>
    </row>
    <row r="565" spans="1:6" x14ac:dyDescent="0.2">
      <c r="A565" s="5">
        <v>600858</v>
      </c>
      <c r="B565" s="5" t="s">
        <v>769</v>
      </c>
      <c r="C565" s="5" t="s">
        <v>694</v>
      </c>
      <c r="D565" s="5" t="s">
        <v>20</v>
      </c>
      <c r="E565" s="5" t="s">
        <v>695</v>
      </c>
      <c r="F565" s="5" t="s">
        <v>699</v>
      </c>
    </row>
    <row r="566" spans="1:6" x14ac:dyDescent="0.2">
      <c r="A566" s="5">
        <v>600866</v>
      </c>
      <c r="B566" s="5" t="s">
        <v>770</v>
      </c>
      <c r="C566" s="5" t="s">
        <v>694</v>
      </c>
      <c r="D566" s="5" t="s">
        <v>20</v>
      </c>
      <c r="E566" s="5" t="s">
        <v>695</v>
      </c>
      <c r="F566" s="5" t="s">
        <v>699</v>
      </c>
    </row>
    <row r="567" spans="1:6" x14ac:dyDescent="0.2">
      <c r="A567" s="5">
        <v>600830</v>
      </c>
      <c r="B567" s="5" t="s">
        <v>626</v>
      </c>
      <c r="C567" s="5" t="s">
        <v>694</v>
      </c>
      <c r="D567" s="5" t="s">
        <v>20</v>
      </c>
      <c r="E567" s="5" t="s">
        <v>695</v>
      </c>
      <c r="F567" s="5" t="s">
        <v>699</v>
      </c>
    </row>
    <row r="568" spans="1:6" x14ac:dyDescent="0.2">
      <c r="A568" s="5">
        <v>600829</v>
      </c>
      <c r="B568" s="5" t="s">
        <v>625</v>
      </c>
      <c r="C568" s="5" t="s">
        <v>694</v>
      </c>
      <c r="D568" s="5" t="s">
        <v>20</v>
      </c>
      <c r="E568" s="5" t="s">
        <v>695</v>
      </c>
      <c r="F568" s="5" t="s">
        <v>699</v>
      </c>
    </row>
    <row r="569" spans="1:6" x14ac:dyDescent="0.2">
      <c r="A569" s="5">
        <v>600857</v>
      </c>
      <c r="B569" s="5" t="s">
        <v>771</v>
      </c>
      <c r="C569" s="5" t="s">
        <v>694</v>
      </c>
      <c r="D569" s="5" t="s">
        <v>20</v>
      </c>
      <c r="E569" s="5" t="s">
        <v>695</v>
      </c>
      <c r="F569" s="5" t="s">
        <v>699</v>
      </c>
    </row>
    <row r="570" spans="1:6" x14ac:dyDescent="0.2">
      <c r="A570" s="5">
        <v>600842</v>
      </c>
      <c r="B570" s="5" t="s">
        <v>637</v>
      </c>
      <c r="C570" s="5" t="s">
        <v>694</v>
      </c>
      <c r="D570" s="5" t="s">
        <v>20</v>
      </c>
      <c r="E570" s="5" t="s">
        <v>695</v>
      </c>
      <c r="F570" s="5" t="s">
        <v>699</v>
      </c>
    </row>
    <row r="571" spans="1:6" x14ac:dyDescent="0.2">
      <c r="A571" s="5">
        <v>600841</v>
      </c>
      <c r="B571" s="5" t="s">
        <v>636</v>
      </c>
      <c r="C571" s="5" t="s">
        <v>694</v>
      </c>
      <c r="D571" s="5" t="s">
        <v>20</v>
      </c>
      <c r="E571" s="5" t="s">
        <v>695</v>
      </c>
      <c r="F571" s="5" t="s">
        <v>699</v>
      </c>
    </row>
    <row r="572" spans="1:6" x14ac:dyDescent="0.2">
      <c r="A572" s="5">
        <v>600840</v>
      </c>
      <c r="B572" s="5" t="s">
        <v>635</v>
      </c>
      <c r="C572" s="5" t="s">
        <v>694</v>
      </c>
      <c r="D572" s="5" t="s">
        <v>20</v>
      </c>
      <c r="E572" s="5" t="s">
        <v>695</v>
      </c>
      <c r="F572" s="5" t="s">
        <v>699</v>
      </c>
    </row>
    <row r="573" spans="1:6" x14ac:dyDescent="0.2">
      <c r="A573" s="5">
        <v>600839</v>
      </c>
      <c r="B573" s="5" t="s">
        <v>634</v>
      </c>
      <c r="C573" s="5" t="s">
        <v>694</v>
      </c>
      <c r="D573" s="5" t="s">
        <v>20</v>
      </c>
      <c r="E573" s="5" t="s">
        <v>695</v>
      </c>
      <c r="F573" s="5" t="s">
        <v>699</v>
      </c>
    </row>
    <row r="574" spans="1:6" x14ac:dyDescent="0.2">
      <c r="A574" s="5">
        <v>600864</v>
      </c>
      <c r="B574" s="5" t="s">
        <v>772</v>
      </c>
      <c r="C574" s="5" t="s">
        <v>694</v>
      </c>
      <c r="D574" s="5" t="s">
        <v>20</v>
      </c>
      <c r="E574" s="5" t="s">
        <v>695</v>
      </c>
      <c r="F574" s="5" t="s">
        <v>699</v>
      </c>
    </row>
    <row r="575" spans="1:6" x14ac:dyDescent="0.2">
      <c r="A575" s="5">
        <v>600828</v>
      </c>
      <c r="B575" s="5" t="s">
        <v>624</v>
      </c>
      <c r="C575" s="5" t="s">
        <v>694</v>
      </c>
      <c r="D575" s="5" t="s">
        <v>20</v>
      </c>
      <c r="E575" s="5" t="s">
        <v>695</v>
      </c>
      <c r="F575" s="5" t="s">
        <v>699</v>
      </c>
    </row>
    <row r="576" spans="1:6" x14ac:dyDescent="0.2">
      <c r="A576" s="5">
        <v>600856</v>
      </c>
      <c r="B576" s="5" t="s">
        <v>773</v>
      </c>
      <c r="C576" s="5" t="s">
        <v>694</v>
      </c>
      <c r="D576" s="5" t="s">
        <v>20</v>
      </c>
      <c r="E576" s="5" t="s">
        <v>695</v>
      </c>
      <c r="F576" s="5" t="s">
        <v>699</v>
      </c>
    </row>
    <row r="577" spans="1:6" x14ac:dyDescent="0.2">
      <c r="A577" s="5">
        <v>600827</v>
      </c>
      <c r="B577" s="5" t="s">
        <v>623</v>
      </c>
      <c r="C577" s="5" t="s">
        <v>694</v>
      </c>
      <c r="D577" s="5" t="s">
        <v>20</v>
      </c>
      <c r="E577" s="5" t="s">
        <v>695</v>
      </c>
      <c r="F577" s="5" t="s">
        <v>699</v>
      </c>
    </row>
    <row r="578" spans="1:6" x14ac:dyDescent="0.2">
      <c r="A578" s="5">
        <v>600826</v>
      </c>
      <c r="B578" s="5" t="s">
        <v>622</v>
      </c>
      <c r="C578" s="5" t="s">
        <v>694</v>
      </c>
      <c r="D578" s="5" t="s">
        <v>20</v>
      </c>
      <c r="E578" s="5" t="s">
        <v>695</v>
      </c>
      <c r="F578" s="5" t="s">
        <v>699</v>
      </c>
    </row>
    <row r="579" spans="1:6" x14ac:dyDescent="0.2">
      <c r="A579" s="5">
        <v>600825</v>
      </c>
      <c r="B579" s="5" t="s">
        <v>621</v>
      </c>
      <c r="C579" s="5" t="s">
        <v>694</v>
      </c>
      <c r="D579" s="5" t="s">
        <v>20</v>
      </c>
      <c r="E579" s="5" t="s">
        <v>695</v>
      </c>
      <c r="F579" s="5" t="s">
        <v>699</v>
      </c>
    </row>
    <row r="580" spans="1:6" x14ac:dyDescent="0.2">
      <c r="A580" s="5">
        <v>600855</v>
      </c>
      <c r="B580" s="5" t="s">
        <v>774</v>
      </c>
      <c r="C580" s="5" t="s">
        <v>694</v>
      </c>
      <c r="D580" s="5" t="s">
        <v>20</v>
      </c>
      <c r="E580" s="5" t="s">
        <v>695</v>
      </c>
      <c r="F580" s="5" t="s">
        <v>699</v>
      </c>
    </row>
    <row r="581" spans="1:6" x14ac:dyDescent="0.2">
      <c r="A581" s="5">
        <v>600220</v>
      </c>
      <c r="B581" s="5" t="s">
        <v>775</v>
      </c>
      <c r="C581" s="5" t="s">
        <v>694</v>
      </c>
      <c r="D581" s="5" t="s">
        <v>20</v>
      </c>
      <c r="E581" s="5" t="s">
        <v>695</v>
      </c>
      <c r="F581" s="5" t="s">
        <v>699</v>
      </c>
    </row>
    <row r="582" spans="1:6" x14ac:dyDescent="0.2">
      <c r="A582" s="5">
        <v>600854</v>
      </c>
      <c r="B582" s="5" t="s">
        <v>776</v>
      </c>
      <c r="C582" s="5" t="s">
        <v>694</v>
      </c>
      <c r="D582" s="5" t="s">
        <v>20</v>
      </c>
      <c r="E582" s="5" t="s">
        <v>695</v>
      </c>
      <c r="F582" s="5" t="s">
        <v>699</v>
      </c>
    </row>
    <row r="583" spans="1:6" x14ac:dyDescent="0.2">
      <c r="A583" s="5">
        <v>600853</v>
      </c>
      <c r="B583" s="5" t="s">
        <v>777</v>
      </c>
      <c r="C583" s="5" t="s">
        <v>694</v>
      </c>
      <c r="D583" s="5" t="s">
        <v>20</v>
      </c>
      <c r="E583" s="5" t="s">
        <v>695</v>
      </c>
      <c r="F583" s="5" t="s">
        <v>699</v>
      </c>
    </row>
    <row r="584" spans="1:6" x14ac:dyDescent="0.2">
      <c r="A584" s="5">
        <v>600838</v>
      </c>
      <c r="B584" s="5" t="s">
        <v>633</v>
      </c>
      <c r="C584" s="5" t="s">
        <v>694</v>
      </c>
      <c r="D584" s="5" t="s">
        <v>20</v>
      </c>
      <c r="E584" s="5" t="s">
        <v>695</v>
      </c>
      <c r="F584" s="5" t="s">
        <v>699</v>
      </c>
    </row>
    <row r="585" spans="1:6" x14ac:dyDescent="0.2">
      <c r="A585" s="5">
        <v>600837</v>
      </c>
      <c r="B585" s="5" t="s">
        <v>632</v>
      </c>
      <c r="C585" s="5" t="s">
        <v>694</v>
      </c>
      <c r="D585" s="5" t="s">
        <v>20</v>
      </c>
      <c r="E585" s="5" t="s">
        <v>695</v>
      </c>
      <c r="F585" s="5" t="s">
        <v>699</v>
      </c>
    </row>
    <row r="586" spans="1:6" x14ac:dyDescent="0.2">
      <c r="A586" s="5">
        <v>600865</v>
      </c>
      <c r="B586" s="5" t="s">
        <v>778</v>
      </c>
      <c r="C586" s="5" t="s">
        <v>694</v>
      </c>
      <c r="D586" s="5" t="s">
        <v>20</v>
      </c>
      <c r="E586" s="5" t="s">
        <v>695</v>
      </c>
      <c r="F586" s="5" t="s">
        <v>699</v>
      </c>
    </row>
    <row r="587" spans="1:6" x14ac:dyDescent="0.2">
      <c r="A587" s="5">
        <v>600836</v>
      </c>
      <c r="B587" s="5" t="s">
        <v>631</v>
      </c>
      <c r="C587" s="5" t="s">
        <v>694</v>
      </c>
      <c r="D587" s="5" t="s">
        <v>20</v>
      </c>
      <c r="E587" s="5" t="s">
        <v>695</v>
      </c>
      <c r="F587" s="5" t="s">
        <v>699</v>
      </c>
    </row>
    <row r="588" spans="1:6" x14ac:dyDescent="0.2">
      <c r="A588" s="5">
        <v>600835</v>
      </c>
      <c r="B588" s="5" t="s">
        <v>630</v>
      </c>
      <c r="C588" s="5" t="s">
        <v>694</v>
      </c>
      <c r="D588" s="5" t="s">
        <v>20</v>
      </c>
      <c r="E588" s="5" t="s">
        <v>695</v>
      </c>
      <c r="F588" s="5" t="s">
        <v>699</v>
      </c>
    </row>
    <row r="589" spans="1:6" x14ac:dyDescent="0.2">
      <c r="A589" s="5">
        <v>600852</v>
      </c>
      <c r="B589" s="5" t="s">
        <v>779</v>
      </c>
      <c r="C589" s="5" t="s">
        <v>694</v>
      </c>
      <c r="D589" s="5" t="s">
        <v>20</v>
      </c>
      <c r="E589" s="5" t="s">
        <v>695</v>
      </c>
      <c r="F589" s="5" t="s">
        <v>699</v>
      </c>
    </row>
    <row r="590" spans="1:6" x14ac:dyDescent="0.2">
      <c r="A590" s="5">
        <v>600851</v>
      </c>
      <c r="B590" s="5" t="s">
        <v>780</v>
      </c>
      <c r="C590" s="5" t="s">
        <v>694</v>
      </c>
      <c r="D590" s="5" t="s">
        <v>20</v>
      </c>
      <c r="E590" s="5" t="s">
        <v>695</v>
      </c>
      <c r="F590" s="5" t="s">
        <v>699</v>
      </c>
    </row>
    <row r="591" spans="1:6" x14ac:dyDescent="0.2">
      <c r="A591" s="5">
        <v>600824</v>
      </c>
      <c r="B591" s="5" t="s">
        <v>620</v>
      </c>
      <c r="C591" s="5" t="s">
        <v>694</v>
      </c>
      <c r="D591" s="5" t="s">
        <v>20</v>
      </c>
      <c r="E591" s="5" t="s">
        <v>695</v>
      </c>
      <c r="F591" s="5" t="s">
        <v>699</v>
      </c>
    </row>
    <row r="592" spans="1:6" x14ac:dyDescent="0.2">
      <c r="A592" s="5">
        <v>600850</v>
      </c>
      <c r="B592" s="5" t="s">
        <v>781</v>
      </c>
      <c r="C592" s="5" t="s">
        <v>694</v>
      </c>
      <c r="D592" s="5" t="s">
        <v>20</v>
      </c>
      <c r="E592" s="5" t="s">
        <v>695</v>
      </c>
      <c r="F592" s="5" t="s">
        <v>699</v>
      </c>
    </row>
    <row r="593" spans="1:6" x14ac:dyDescent="0.2">
      <c r="A593" s="5">
        <v>600863</v>
      </c>
      <c r="B593" s="5" t="s">
        <v>782</v>
      </c>
      <c r="C593" s="5" t="s">
        <v>694</v>
      </c>
      <c r="D593" s="5" t="s">
        <v>20</v>
      </c>
      <c r="E593" s="5" t="s">
        <v>695</v>
      </c>
      <c r="F593" s="5" t="s">
        <v>699</v>
      </c>
    </row>
    <row r="594" spans="1:6" x14ac:dyDescent="0.2">
      <c r="A594" s="5">
        <v>600834</v>
      </c>
      <c r="B594" s="5" t="s">
        <v>629</v>
      </c>
      <c r="C594" s="5" t="s">
        <v>694</v>
      </c>
      <c r="D594" s="5" t="s">
        <v>20</v>
      </c>
      <c r="E594" s="5" t="s">
        <v>695</v>
      </c>
      <c r="F594" s="5" t="s">
        <v>699</v>
      </c>
    </row>
    <row r="595" spans="1:6" x14ac:dyDescent="0.2">
      <c r="A595" s="5">
        <v>111279</v>
      </c>
      <c r="B595" s="5" t="s">
        <v>687</v>
      </c>
      <c r="C595" s="5" t="s">
        <v>181</v>
      </c>
      <c r="D595" s="5" t="s">
        <v>18</v>
      </c>
      <c r="E595" s="5" t="s">
        <v>695</v>
      </c>
      <c r="F595" s="5" t="s">
        <v>699</v>
      </c>
    </row>
    <row r="596" spans="1:6" x14ac:dyDescent="0.2">
      <c r="A596" s="5">
        <v>111280</v>
      </c>
      <c r="B596" s="5" t="s">
        <v>688</v>
      </c>
      <c r="C596" s="5" t="s">
        <v>197</v>
      </c>
      <c r="D596" s="5" t="s">
        <v>18</v>
      </c>
      <c r="E596" s="5" t="s">
        <v>695</v>
      </c>
      <c r="F596" s="5" t="s">
        <v>699</v>
      </c>
    </row>
    <row r="597" spans="1:6" x14ac:dyDescent="0.2">
      <c r="A597" s="5">
        <v>111281</v>
      </c>
      <c r="B597" s="5" t="s">
        <v>689</v>
      </c>
      <c r="C597" s="5" t="s">
        <v>302</v>
      </c>
      <c r="D597" s="5" t="s">
        <v>18</v>
      </c>
      <c r="E597" s="5" t="s">
        <v>695</v>
      </c>
      <c r="F597" s="5" t="s">
        <v>699</v>
      </c>
    </row>
    <row r="598" spans="1:6" x14ac:dyDescent="0.2">
      <c r="A598" s="5">
        <v>111282</v>
      </c>
      <c r="B598" s="5" t="s">
        <v>690</v>
      </c>
      <c r="C598" s="5" t="s">
        <v>215</v>
      </c>
      <c r="D598" s="5" t="s">
        <v>18</v>
      </c>
      <c r="E598" s="5" t="s">
        <v>695</v>
      </c>
      <c r="F598" s="5" t="s">
        <v>699</v>
      </c>
    </row>
    <row r="599" spans="1:6" x14ac:dyDescent="0.2">
      <c r="A599" s="5">
        <v>111283</v>
      </c>
      <c r="B599" s="5" t="s">
        <v>691</v>
      </c>
      <c r="C599" s="5" t="s">
        <v>234</v>
      </c>
      <c r="D599" s="5" t="s">
        <v>18</v>
      </c>
      <c r="E599" s="5" t="s">
        <v>695</v>
      </c>
      <c r="F599" s="5" t="s">
        <v>699</v>
      </c>
    </row>
    <row r="600" spans="1:6" x14ac:dyDescent="0.2">
      <c r="A600" s="5">
        <v>111284</v>
      </c>
      <c r="B600" s="5" t="s">
        <v>692</v>
      </c>
      <c r="C600" s="5" t="s">
        <v>197</v>
      </c>
      <c r="D600" s="5" t="s">
        <v>18</v>
      </c>
      <c r="E600" s="5" t="s">
        <v>695</v>
      </c>
      <c r="F600" s="5" t="s">
        <v>699</v>
      </c>
    </row>
    <row r="601" spans="1:6" x14ac:dyDescent="0.2">
      <c r="A601" s="5">
        <v>111285</v>
      </c>
      <c r="B601" s="5" t="s">
        <v>693</v>
      </c>
      <c r="C601" s="5" t="s">
        <v>285</v>
      </c>
      <c r="D601" s="5" t="s">
        <v>18</v>
      </c>
      <c r="E601" s="5" t="s">
        <v>695</v>
      </c>
      <c r="F601" s="5" t="s">
        <v>699</v>
      </c>
    </row>
    <row r="602" spans="1:6" x14ac:dyDescent="0.2">
      <c r="A602" s="5">
        <v>110292</v>
      </c>
      <c r="B602" s="5" t="s">
        <v>197</v>
      </c>
      <c r="C602" s="5" t="s">
        <v>197</v>
      </c>
      <c r="D602" s="5" t="s">
        <v>18</v>
      </c>
      <c r="E602" s="5" t="s">
        <v>99</v>
      </c>
      <c r="F602" s="5" t="s">
        <v>699</v>
      </c>
    </row>
    <row r="603" spans="1:6" x14ac:dyDescent="0.2">
      <c r="A603" s="5">
        <v>600189</v>
      </c>
      <c r="B603" s="5" t="s">
        <v>795</v>
      </c>
      <c r="C603" s="5" t="s">
        <v>795</v>
      </c>
      <c r="D603" s="5" t="s">
        <v>19</v>
      </c>
      <c r="E603" s="5" t="s">
        <v>99</v>
      </c>
      <c r="F603" s="5" t="s">
        <v>699</v>
      </c>
    </row>
    <row r="604" spans="1:6" x14ac:dyDescent="0.2">
      <c r="A604" s="5">
        <v>500057</v>
      </c>
      <c r="B604" s="5" t="s">
        <v>389</v>
      </c>
      <c r="C604" s="5" t="s">
        <v>389</v>
      </c>
      <c r="D604" s="5" t="s">
        <v>19</v>
      </c>
      <c r="E604" s="5" t="s">
        <v>99</v>
      </c>
      <c r="F604" s="5" t="s">
        <v>699</v>
      </c>
    </row>
    <row r="605" spans="1:6" x14ac:dyDescent="0.2">
      <c r="A605" s="5">
        <v>110463</v>
      </c>
      <c r="B605" s="5" t="s">
        <v>831</v>
      </c>
      <c r="C605" s="5" t="s">
        <v>251</v>
      </c>
      <c r="D605" s="5" t="s">
        <v>18</v>
      </c>
      <c r="E605" s="5" t="s">
        <v>695</v>
      </c>
      <c r="F605" s="5" t="s">
        <v>699</v>
      </c>
    </row>
    <row r="606" spans="1:6" x14ac:dyDescent="0.2">
      <c r="A606" s="5">
        <v>999999</v>
      </c>
      <c r="B606" s="5" t="s">
        <v>832</v>
      </c>
      <c r="C606" s="5" t="s">
        <v>832</v>
      </c>
      <c r="D606" s="5" t="s">
        <v>832</v>
      </c>
      <c r="E606" s="5" t="s">
        <v>832</v>
      </c>
    </row>
    <row r="607" spans="1:6" x14ac:dyDescent="0.2">
      <c r="A607" s="5">
        <v>600032</v>
      </c>
      <c r="B607" s="5" t="s">
        <v>458</v>
      </c>
      <c r="C607" s="5" t="s">
        <v>458</v>
      </c>
      <c r="D607" s="5" t="s">
        <v>20</v>
      </c>
      <c r="E607" s="5" t="s">
        <v>99</v>
      </c>
      <c r="F607" s="5" t="s">
        <v>699</v>
      </c>
    </row>
    <row r="608" spans="1:6" x14ac:dyDescent="0.2">
      <c r="A608" s="5">
        <v>600345</v>
      </c>
      <c r="B608" s="5" t="s">
        <v>492</v>
      </c>
      <c r="C608" s="5" t="s">
        <v>492</v>
      </c>
      <c r="D608" s="5" t="s">
        <v>20</v>
      </c>
      <c r="E608" s="5" t="s">
        <v>99</v>
      </c>
      <c r="F608" s="5" t="s">
        <v>699</v>
      </c>
    </row>
    <row r="609" spans="1:6" x14ac:dyDescent="0.2">
      <c r="A609" s="5">
        <v>210005</v>
      </c>
      <c r="B609" s="5" t="s">
        <v>106</v>
      </c>
      <c r="C609" s="5" t="s">
        <v>106</v>
      </c>
      <c r="D609" s="5" t="s">
        <v>18</v>
      </c>
      <c r="E609" s="5" t="s">
        <v>99</v>
      </c>
      <c r="F609" s="5" t="s">
        <v>699</v>
      </c>
    </row>
    <row r="610" spans="1:6" x14ac:dyDescent="0.2">
      <c r="A610" s="5">
        <v>500025</v>
      </c>
      <c r="B610" s="5" t="s">
        <v>391</v>
      </c>
      <c r="C610" s="5" t="s">
        <v>391</v>
      </c>
      <c r="D610" s="5" t="s">
        <v>19</v>
      </c>
      <c r="E610" s="5" t="s">
        <v>788</v>
      </c>
      <c r="F610" s="5" t="s">
        <v>699</v>
      </c>
    </row>
    <row r="611" spans="1:6" x14ac:dyDescent="0.2">
      <c r="A611" s="5">
        <v>888888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699</v>
      </c>
    </row>
    <row r="612" spans="1:6" x14ac:dyDescent="0.2">
      <c r="A612" s="5">
        <v>777777</v>
      </c>
      <c r="B612" s="5" t="s">
        <v>8</v>
      </c>
      <c r="C612" s="5" t="s">
        <v>8</v>
      </c>
      <c r="D612" s="5" t="s">
        <v>8</v>
      </c>
      <c r="E612" s="5" t="s">
        <v>8</v>
      </c>
      <c r="F612" s="5" t="s">
        <v>699</v>
      </c>
    </row>
    <row r="613" spans="1:6" x14ac:dyDescent="0.2">
      <c r="A613" s="5">
        <v>666666</v>
      </c>
      <c r="B613" s="5" t="s">
        <v>955</v>
      </c>
      <c r="C613" s="5" t="s">
        <v>955</v>
      </c>
      <c r="D613" s="5" t="s">
        <v>955</v>
      </c>
      <c r="E613" s="5" t="s">
        <v>955</v>
      </c>
      <c r="F613" s="5" t="s">
        <v>699</v>
      </c>
    </row>
    <row r="614" spans="1:6" x14ac:dyDescent="0.2">
      <c r="A614" s="5">
        <v>600878</v>
      </c>
      <c r="B614" s="5" t="s">
        <v>1015</v>
      </c>
      <c r="C614" s="5" t="s">
        <v>608</v>
      </c>
      <c r="D614" s="5" t="s">
        <v>20</v>
      </c>
      <c r="E614" s="5" t="s">
        <v>695</v>
      </c>
      <c r="F614" s="5" t="s">
        <v>699</v>
      </c>
    </row>
    <row r="615" spans="1:6" x14ac:dyDescent="0.2">
      <c r="A615" s="5">
        <v>110303</v>
      </c>
      <c r="B615" s="5" t="s">
        <v>302</v>
      </c>
      <c r="C615" s="5" t="s">
        <v>302</v>
      </c>
      <c r="D615" s="5" t="s">
        <v>18</v>
      </c>
      <c r="E615" s="5" t="s">
        <v>99</v>
      </c>
      <c r="F615" s="5" t="s">
        <v>699</v>
      </c>
    </row>
    <row r="616" spans="1:6" x14ac:dyDescent="0.2">
      <c r="A616" s="5">
        <v>210013</v>
      </c>
      <c r="B616" s="5" t="s">
        <v>124</v>
      </c>
      <c r="C616" s="5" t="s">
        <v>124</v>
      </c>
      <c r="D616" s="5" t="s">
        <v>18</v>
      </c>
      <c r="E616" s="5" t="s">
        <v>99</v>
      </c>
      <c r="F616" s="5" t="s">
        <v>699</v>
      </c>
    </row>
    <row r="617" spans="1:6" x14ac:dyDescent="0.2">
      <c r="A617" s="5">
        <v>110300</v>
      </c>
      <c r="B617" s="5" t="s">
        <v>1032</v>
      </c>
      <c r="C617" s="5" t="s">
        <v>1032</v>
      </c>
      <c r="D617" s="5" t="s">
        <v>18</v>
      </c>
      <c r="E617" s="5" t="s">
        <v>99</v>
      </c>
      <c r="F617" s="5" t="s">
        <v>699</v>
      </c>
    </row>
    <row r="618" spans="1:6" x14ac:dyDescent="0.2">
      <c r="A618" s="5">
        <v>210007</v>
      </c>
      <c r="B618" s="5" t="s">
        <v>285</v>
      </c>
      <c r="C618" s="5" t="s">
        <v>285</v>
      </c>
      <c r="D618" s="5" t="s">
        <v>18</v>
      </c>
      <c r="E618" s="5" t="s">
        <v>99</v>
      </c>
      <c r="F618" s="5" t="s">
        <v>699</v>
      </c>
    </row>
    <row r="619" spans="1:6" x14ac:dyDescent="0.2">
      <c r="A619" s="5">
        <v>600892</v>
      </c>
      <c r="B619" s="5" t="s">
        <v>1134</v>
      </c>
      <c r="C619" s="5" t="s">
        <v>1133</v>
      </c>
      <c r="D619" s="5" t="s">
        <v>20</v>
      </c>
      <c r="E619" s="5" t="s">
        <v>695</v>
      </c>
      <c r="F619" s="5" t="s">
        <v>699</v>
      </c>
    </row>
  </sheetData>
  <dataValidations count="1">
    <dataValidation type="list" allowBlank="1" showInputMessage="1" showErrorMessage="1" sqref="D59" xr:uid="{12491317-9AA5-489D-BD78-2AF6F7E252DC}">
      <formula1>"KARS,TEKİRDAĞ"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479C-6EB9-447E-AE82-CAAA785EDACB}">
  <dimension ref="A3:H43"/>
  <sheetViews>
    <sheetView workbookViewId="0">
      <selection activeCell="B15" sqref="B15"/>
    </sheetView>
  </sheetViews>
  <sheetFormatPr defaultRowHeight="15" x14ac:dyDescent="0.25"/>
  <cols>
    <col min="1" max="1" width="54.5703125" bestFit="1" customWidth="1"/>
    <col min="2" max="2" width="16.140625" bestFit="1" customWidth="1"/>
    <col min="3" max="3" width="8.42578125" bestFit="1" customWidth="1"/>
    <col min="4" max="4" width="10.85546875" bestFit="1" customWidth="1"/>
    <col min="5" max="6" width="12.42578125" bestFit="1" customWidth="1"/>
    <col min="7" max="7" width="5.140625" bestFit="1" customWidth="1"/>
    <col min="8" max="8" width="12.42578125" bestFit="1" customWidth="1"/>
  </cols>
  <sheetData>
    <row r="3" spans="1:8" x14ac:dyDescent="0.25">
      <c r="A3" s="15" t="s">
        <v>961</v>
      </c>
      <c r="B3" s="15" t="s">
        <v>959</v>
      </c>
    </row>
    <row r="4" spans="1:8" x14ac:dyDescent="0.25">
      <c r="A4" s="15" t="s">
        <v>956</v>
      </c>
      <c r="B4" s="7" t="s">
        <v>960</v>
      </c>
      <c r="C4" s="7" t="s">
        <v>103</v>
      </c>
      <c r="D4" s="7" t="s">
        <v>104</v>
      </c>
      <c r="E4" s="7" t="s">
        <v>958</v>
      </c>
    </row>
    <row r="5" spans="1:8" x14ac:dyDescent="0.25">
      <c r="A5" s="16" t="s">
        <v>97</v>
      </c>
      <c r="B5" s="18"/>
      <c r="C5" s="18">
        <v>74</v>
      </c>
      <c r="D5" s="18">
        <v>35</v>
      </c>
      <c r="E5" s="18">
        <v>109</v>
      </c>
    </row>
    <row r="6" spans="1:8" x14ac:dyDescent="0.25">
      <c r="A6" s="16" t="s">
        <v>41</v>
      </c>
      <c r="B6" s="18"/>
      <c r="C6" s="18">
        <v>41</v>
      </c>
      <c r="D6" s="18">
        <v>9</v>
      </c>
      <c r="E6" s="18">
        <v>50</v>
      </c>
    </row>
    <row r="7" spans="1:8" x14ac:dyDescent="0.25">
      <c r="A7" s="16" t="s">
        <v>96</v>
      </c>
      <c r="B7" s="18"/>
      <c r="C7" s="18">
        <v>36</v>
      </c>
      <c r="D7" s="18">
        <v>5</v>
      </c>
      <c r="E7" s="18">
        <v>41</v>
      </c>
    </row>
    <row r="8" spans="1:8" x14ac:dyDescent="0.25">
      <c r="A8" s="16" t="s">
        <v>957</v>
      </c>
      <c r="B8" s="18">
        <v>27</v>
      </c>
      <c r="C8" s="18">
        <v>1</v>
      </c>
      <c r="D8" s="18">
        <v>1</v>
      </c>
      <c r="E8" s="18">
        <v>29</v>
      </c>
    </row>
    <row r="9" spans="1:8" x14ac:dyDescent="0.25">
      <c r="A9" s="16" t="s">
        <v>47</v>
      </c>
      <c r="B9" s="18"/>
      <c r="C9" s="18">
        <v>12</v>
      </c>
      <c r="D9" s="18">
        <v>3</v>
      </c>
      <c r="E9" s="18">
        <v>15</v>
      </c>
    </row>
    <row r="10" spans="1:8" x14ac:dyDescent="0.25">
      <c r="A10" s="16" t="s">
        <v>958</v>
      </c>
      <c r="B10" s="18">
        <v>27</v>
      </c>
      <c r="C10" s="18">
        <v>164</v>
      </c>
      <c r="D10" s="18">
        <v>53</v>
      </c>
      <c r="E10" s="18">
        <v>244</v>
      </c>
    </row>
    <row r="13" spans="1:8" x14ac:dyDescent="0.25">
      <c r="A13" s="15" t="s">
        <v>961</v>
      </c>
      <c r="B13" s="15" t="s">
        <v>959</v>
      </c>
    </row>
    <row r="14" spans="1:8" x14ac:dyDescent="0.25">
      <c r="A14" s="15" t="s">
        <v>956</v>
      </c>
      <c r="B14" s="7" t="s">
        <v>960</v>
      </c>
      <c r="C14" s="7" t="s">
        <v>103</v>
      </c>
      <c r="D14" s="7" t="s">
        <v>104</v>
      </c>
      <c r="E14" s="7" t="s">
        <v>958</v>
      </c>
      <c r="F14" s="15"/>
      <c r="G14" s="15"/>
      <c r="H14" s="15"/>
    </row>
    <row r="15" spans="1:8" x14ac:dyDescent="0.25">
      <c r="A15" s="16" t="s">
        <v>97</v>
      </c>
      <c r="B15" s="18"/>
      <c r="C15" s="18">
        <v>74</v>
      </c>
      <c r="D15" s="18">
        <v>35</v>
      </c>
      <c r="E15" s="18">
        <v>109</v>
      </c>
    </row>
    <row r="16" spans="1:8" x14ac:dyDescent="0.25">
      <c r="A16" s="17" t="s">
        <v>734</v>
      </c>
      <c r="B16" s="18"/>
      <c r="C16" s="18">
        <v>44</v>
      </c>
      <c r="D16" s="18">
        <v>20</v>
      </c>
      <c r="E16" s="18">
        <v>64</v>
      </c>
    </row>
    <row r="17" spans="1:5" x14ac:dyDescent="0.25">
      <c r="A17" s="17" t="s">
        <v>44</v>
      </c>
      <c r="B17" s="18"/>
      <c r="C17" s="18">
        <v>6</v>
      </c>
      <c r="D17" s="18">
        <v>7</v>
      </c>
      <c r="E17" s="18">
        <v>13</v>
      </c>
    </row>
    <row r="18" spans="1:5" x14ac:dyDescent="0.25">
      <c r="A18" s="17" t="s">
        <v>21</v>
      </c>
      <c r="B18" s="18"/>
      <c r="C18" s="18">
        <v>7</v>
      </c>
      <c r="D18" s="18">
        <v>5</v>
      </c>
      <c r="E18" s="18">
        <v>12</v>
      </c>
    </row>
    <row r="19" spans="1:5" x14ac:dyDescent="0.25">
      <c r="A19" s="17" t="s">
        <v>22</v>
      </c>
      <c r="B19" s="18"/>
      <c r="C19" s="18">
        <v>8</v>
      </c>
      <c r="D19" s="18"/>
      <c r="E19" s="18">
        <v>8</v>
      </c>
    </row>
    <row r="20" spans="1:5" x14ac:dyDescent="0.25">
      <c r="A20" s="17" t="s">
        <v>26</v>
      </c>
      <c r="B20" s="18"/>
      <c r="C20" s="18">
        <v>6</v>
      </c>
      <c r="D20" s="18"/>
      <c r="E20" s="18">
        <v>6</v>
      </c>
    </row>
    <row r="21" spans="1:5" x14ac:dyDescent="0.25">
      <c r="A21" s="17" t="s">
        <v>25</v>
      </c>
      <c r="B21" s="18"/>
      <c r="C21" s="18">
        <v>3</v>
      </c>
      <c r="D21" s="18"/>
      <c r="E21" s="18">
        <v>3</v>
      </c>
    </row>
    <row r="22" spans="1:5" x14ac:dyDescent="0.25">
      <c r="A22" s="17" t="s">
        <v>24</v>
      </c>
      <c r="B22" s="18"/>
      <c r="C22" s="18"/>
      <c r="D22" s="18">
        <v>3</v>
      </c>
      <c r="E22" s="18">
        <v>3</v>
      </c>
    </row>
    <row r="23" spans="1:5" x14ac:dyDescent="0.25">
      <c r="A23" s="16" t="s">
        <v>41</v>
      </c>
      <c r="B23" s="18"/>
      <c r="C23" s="18">
        <v>41</v>
      </c>
      <c r="D23" s="18">
        <v>9</v>
      </c>
      <c r="E23" s="18">
        <v>50</v>
      </c>
    </row>
    <row r="24" spans="1:5" x14ac:dyDescent="0.25">
      <c r="A24" s="17" t="s">
        <v>44</v>
      </c>
      <c r="B24" s="18"/>
      <c r="C24" s="18">
        <v>22</v>
      </c>
      <c r="D24" s="18">
        <v>4</v>
      </c>
      <c r="E24" s="18">
        <v>26</v>
      </c>
    </row>
    <row r="25" spans="1:5" x14ac:dyDescent="0.25">
      <c r="A25" s="17" t="s">
        <v>42</v>
      </c>
      <c r="B25" s="18"/>
      <c r="C25" s="18">
        <v>11</v>
      </c>
      <c r="D25" s="18">
        <v>4</v>
      </c>
      <c r="E25" s="18">
        <v>15</v>
      </c>
    </row>
    <row r="26" spans="1:5" x14ac:dyDescent="0.25">
      <c r="A26" s="17" t="s">
        <v>789</v>
      </c>
      <c r="B26" s="18"/>
      <c r="C26" s="18">
        <v>7</v>
      </c>
      <c r="D26" s="18"/>
      <c r="E26" s="18">
        <v>7</v>
      </c>
    </row>
    <row r="27" spans="1:5" x14ac:dyDescent="0.25">
      <c r="A27" s="17" t="s">
        <v>864</v>
      </c>
      <c r="B27" s="18"/>
      <c r="C27" s="18">
        <v>1</v>
      </c>
      <c r="D27" s="18"/>
      <c r="E27" s="18">
        <v>1</v>
      </c>
    </row>
    <row r="28" spans="1:5" x14ac:dyDescent="0.25">
      <c r="A28" s="17" t="s">
        <v>43</v>
      </c>
      <c r="B28" s="18"/>
      <c r="C28" s="18"/>
      <c r="D28" s="18">
        <v>1</v>
      </c>
      <c r="E28" s="18">
        <v>1</v>
      </c>
    </row>
    <row r="29" spans="1:5" x14ac:dyDescent="0.25">
      <c r="A29" s="16" t="s">
        <v>96</v>
      </c>
      <c r="B29" s="18"/>
      <c r="C29" s="18">
        <v>36</v>
      </c>
      <c r="D29" s="18">
        <v>5</v>
      </c>
      <c r="E29" s="18">
        <v>41</v>
      </c>
    </row>
    <row r="30" spans="1:5" x14ac:dyDescent="0.25">
      <c r="A30" s="17" t="s">
        <v>40</v>
      </c>
      <c r="B30" s="18"/>
      <c r="C30" s="18">
        <v>20</v>
      </c>
      <c r="D30" s="18"/>
      <c r="E30" s="18">
        <v>20</v>
      </c>
    </row>
    <row r="31" spans="1:5" x14ac:dyDescent="0.25">
      <c r="A31" s="17" t="s">
        <v>36</v>
      </c>
      <c r="B31" s="18"/>
      <c r="C31" s="18">
        <v>7</v>
      </c>
      <c r="D31" s="18"/>
      <c r="E31" s="18">
        <v>7</v>
      </c>
    </row>
    <row r="32" spans="1:5" x14ac:dyDescent="0.25">
      <c r="A32" s="17" t="s">
        <v>38</v>
      </c>
      <c r="B32" s="18"/>
      <c r="C32" s="18">
        <v>6</v>
      </c>
      <c r="D32" s="18"/>
      <c r="E32" s="18">
        <v>6</v>
      </c>
    </row>
    <row r="33" spans="1:5" x14ac:dyDescent="0.25">
      <c r="A33" s="17" t="s">
        <v>37</v>
      </c>
      <c r="B33" s="18"/>
      <c r="C33" s="18">
        <v>3</v>
      </c>
      <c r="D33" s="18"/>
      <c r="E33" s="18">
        <v>3</v>
      </c>
    </row>
    <row r="34" spans="1:5" x14ac:dyDescent="0.25">
      <c r="A34" s="17" t="s">
        <v>28</v>
      </c>
      <c r="B34" s="18"/>
      <c r="C34" s="18"/>
      <c r="D34" s="18">
        <v>2</v>
      </c>
      <c r="E34" s="18">
        <v>2</v>
      </c>
    </row>
    <row r="35" spans="1:5" x14ac:dyDescent="0.25">
      <c r="A35" s="17" t="s">
        <v>30</v>
      </c>
      <c r="B35" s="18"/>
      <c r="C35" s="18"/>
      <c r="D35" s="18">
        <v>2</v>
      </c>
      <c r="E35" s="18">
        <v>2</v>
      </c>
    </row>
    <row r="36" spans="1:5" x14ac:dyDescent="0.25">
      <c r="A36" s="17" t="s">
        <v>35</v>
      </c>
      <c r="B36" s="18"/>
      <c r="C36" s="18"/>
      <c r="D36" s="18">
        <v>1</v>
      </c>
      <c r="E36" s="18">
        <v>1</v>
      </c>
    </row>
    <row r="37" spans="1:5" x14ac:dyDescent="0.25">
      <c r="A37" s="16" t="s">
        <v>957</v>
      </c>
      <c r="B37" s="18">
        <v>27</v>
      </c>
      <c r="C37" s="18">
        <v>1</v>
      </c>
      <c r="D37" s="18">
        <v>1</v>
      </c>
      <c r="E37" s="18">
        <v>29</v>
      </c>
    </row>
    <row r="38" spans="1:5" x14ac:dyDescent="0.25">
      <c r="A38" s="17" t="s">
        <v>957</v>
      </c>
      <c r="B38" s="18">
        <v>27</v>
      </c>
      <c r="C38" s="18">
        <v>1</v>
      </c>
      <c r="D38" s="18"/>
      <c r="E38" s="18">
        <v>28</v>
      </c>
    </row>
    <row r="39" spans="1:5" x14ac:dyDescent="0.25">
      <c r="A39" s="17" t="s">
        <v>864</v>
      </c>
      <c r="B39" s="18"/>
      <c r="C39" s="18"/>
      <c r="D39" s="18">
        <v>1</v>
      </c>
      <c r="E39" s="18">
        <v>1</v>
      </c>
    </row>
    <row r="40" spans="1:5" x14ac:dyDescent="0.25">
      <c r="A40" s="16" t="s">
        <v>47</v>
      </c>
      <c r="B40" s="18"/>
      <c r="C40" s="18">
        <v>12</v>
      </c>
      <c r="D40" s="18">
        <v>3</v>
      </c>
      <c r="E40" s="18">
        <v>15</v>
      </c>
    </row>
    <row r="41" spans="1:5" x14ac:dyDescent="0.25">
      <c r="A41" s="17" t="s">
        <v>603</v>
      </c>
      <c r="B41" s="18"/>
      <c r="C41" s="18">
        <v>10</v>
      </c>
      <c r="D41" s="18">
        <v>3</v>
      </c>
      <c r="E41" s="18">
        <v>13</v>
      </c>
    </row>
    <row r="42" spans="1:5" x14ac:dyDescent="0.25">
      <c r="A42" s="17" t="s">
        <v>605</v>
      </c>
      <c r="B42" s="18"/>
      <c r="C42" s="18">
        <v>2</v>
      </c>
      <c r="D42" s="18"/>
      <c r="E42" s="18">
        <v>2</v>
      </c>
    </row>
    <row r="43" spans="1:5" x14ac:dyDescent="0.25">
      <c r="A43" s="16" t="s">
        <v>958</v>
      </c>
      <c r="B43" s="18">
        <v>27</v>
      </c>
      <c r="C43" s="18">
        <v>164</v>
      </c>
      <c r="D43" s="18">
        <v>53</v>
      </c>
      <c r="E43" s="18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23C3-5C85-4FB2-8B88-9C1F72D1B475}">
  <dimension ref="B1:G5"/>
  <sheetViews>
    <sheetView showGridLines="0" zoomScale="130" zoomScaleNormal="130" workbookViewId="0">
      <selection activeCell="C6" sqref="C6"/>
    </sheetView>
  </sheetViews>
  <sheetFormatPr defaultRowHeight="15" x14ac:dyDescent="0.25"/>
  <cols>
    <col min="1" max="1" width="1.5703125" customWidth="1"/>
    <col min="2" max="2" width="15.5703125" customWidth="1"/>
    <col min="3" max="3" width="17.42578125" customWidth="1"/>
    <col min="4" max="4" width="17.85546875" style="7" customWidth="1"/>
    <col min="5" max="5" width="20" style="7" customWidth="1"/>
    <col min="6" max="6" width="25" bestFit="1" customWidth="1"/>
    <col min="7" max="7" width="8.42578125" style="8" customWidth="1"/>
  </cols>
  <sheetData>
    <row r="1" spans="2:7" s="7" customFormat="1" x14ac:dyDescent="0.25">
      <c r="G1" s="8"/>
    </row>
    <row r="2" spans="2:7" ht="27.95" customHeight="1" x14ac:dyDescent="0.25">
      <c r="B2" s="13" t="s">
        <v>792</v>
      </c>
      <c r="C2" s="13" t="s">
        <v>81</v>
      </c>
      <c r="D2" s="13" t="s">
        <v>80</v>
      </c>
      <c r="E2" s="13" t="s">
        <v>75</v>
      </c>
      <c r="F2" s="13" t="s">
        <v>77</v>
      </c>
      <c r="G2" s="14" t="s">
        <v>76</v>
      </c>
    </row>
    <row r="3" spans="2:7" ht="17.45" customHeight="1" x14ac:dyDescent="0.25">
      <c r="B3" s="9" t="s">
        <v>950</v>
      </c>
      <c r="C3" s="10" t="s">
        <v>952</v>
      </c>
      <c r="D3" s="10" t="s">
        <v>952</v>
      </c>
      <c r="E3" s="10" t="s">
        <v>952</v>
      </c>
      <c r="F3" s="10" t="s">
        <v>952</v>
      </c>
      <c r="G3" s="10" t="s">
        <v>952</v>
      </c>
    </row>
    <row r="4" spans="2:7" ht="20.45" customHeight="1" x14ac:dyDescent="0.25">
      <c r="B4" s="9" t="s">
        <v>951</v>
      </c>
      <c r="C4" s="9"/>
      <c r="D4" s="9"/>
      <c r="E4" s="9"/>
      <c r="F4" s="9"/>
      <c r="G4" s="10"/>
    </row>
    <row r="5" spans="2:7" x14ac:dyDescent="0.25">
      <c r="B5" s="11" t="s">
        <v>953</v>
      </c>
      <c r="C5" s="11"/>
      <c r="D5" s="11"/>
      <c r="E5" s="11"/>
      <c r="F5" s="11"/>
      <c r="G5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052C32-27E5-483B-90AF-AE5DF438EF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4</vt:i4>
      </vt:variant>
    </vt:vector>
  </HeadingPairs>
  <TitlesOfParts>
    <vt:vector size="9" baseType="lpstr">
      <vt:lpstr>Data</vt:lpstr>
      <vt:lpstr>Tanımlar</vt:lpstr>
      <vt:lpstr>Personel Bilgi</vt:lpstr>
      <vt:lpstr>Sayfa2</vt:lpstr>
      <vt:lpstr>Sayfa1</vt:lpstr>
      <vt:lpstr>DAVRANIŞ</vt:lpstr>
      <vt:lpstr>SÜREÇ</vt:lpstr>
      <vt:lpstr>TEŞEKKÜR</vt:lpstr>
      <vt:lpstr>ÜRÜN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Ezgi ULUSOY</dc:creator>
  <cp:lastModifiedBy>Şeymanur ÇEVİK</cp:lastModifiedBy>
  <dcterms:created xsi:type="dcterms:W3CDTF">2025-11-26T08:13:32Z</dcterms:created>
  <dcterms:modified xsi:type="dcterms:W3CDTF">2026-01-08T15:19:21Z</dcterms:modified>
</cp:coreProperties>
</file>